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showInkAnnotation="0" autoCompressPictures="0"/>
  <xr:revisionPtr revIDLastSave="1930" documentId="11_6FB5C74C3EDE3D0000817E6769DD2DC1686CBAF4" xr6:coauthVersionLast="47" xr6:coauthVersionMax="47" xr10:uidLastSave="{D791837E-4F7A-48B2-A1DC-F50F2563E9A5}"/>
  <bookViews>
    <workbookView xWindow="0" yWindow="40" windowWidth="15960" windowHeight="18080" xr2:uid="{00000000-000D-0000-FFFF-FFFF00000000}"/>
  </bookViews>
  <sheets>
    <sheet name="Sheet 1 - study1_annotated"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 i="1" l="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12" i="1"/>
  <c r="U3" i="1"/>
  <c r="U4" i="1"/>
  <c r="U5" i="1"/>
  <c r="U6" i="1"/>
  <c r="U7" i="1"/>
  <c r="U8" i="1"/>
  <c r="U9" i="1"/>
  <c r="U10" i="1"/>
  <c r="U11" i="1"/>
  <c r="U2"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 i="1"/>
  <c r="T4" i="1"/>
  <c r="T5" i="1"/>
  <c r="T2"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 i="1"/>
  <c r="S4" i="1"/>
  <c r="S5" i="1"/>
  <c r="S6" i="1"/>
  <c r="S2" i="1"/>
</calcChain>
</file>

<file path=xl/sharedStrings.xml><?xml version="1.0" encoding="utf-8"?>
<sst xmlns="http://schemas.openxmlformats.org/spreadsheetml/2006/main" count="3096" uniqueCount="928">
  <si>
    <t>participant_id</t>
  </si>
  <si>
    <t>story_shortname</t>
  </si>
  <si>
    <t>story_setup</t>
  </si>
  <si>
    <t>priorQ</t>
  </si>
  <si>
    <t>speach</t>
  </si>
  <si>
    <t>speachQ</t>
  </si>
  <si>
    <t>knowledgeQ</t>
  </si>
  <si>
    <t>access</t>
  </si>
  <si>
    <t>observe</t>
  </si>
  <si>
    <t>response_story</t>
  </si>
  <si>
    <t>response_speach</t>
  </si>
  <si>
    <t>response_knowledge</t>
  </si>
  <si>
    <t>Prior_A</t>
  </si>
  <si>
    <t>Knowledge_A</t>
  </si>
  <si>
    <t>drop_incomplete</t>
  </si>
  <si>
    <t>drop_wrongPrior</t>
  </si>
  <si>
    <t>drop_wrongKnowledge</t>
  </si>
  <si>
    <t>exams</t>
  </si>
  <si>
    <t>Students in the introductory bio class almost always have passing grades on the exam.&lt;br&gt; Mark's 3 intro bio students took an exam yesterday.</t>
  </si>
  <si>
    <t>How many of the 3 exams do you think have passing grades?</t>
  </si>
  <si>
    <t>Mark tells you on the phone: 'I have looked at 2 of the 3 exams. 2 of the exams have passing grades.'</t>
  </si>
  <si>
    <t>Now how many of the 3 exams do you think have passing grades?</t>
  </si>
  <si>
    <t>Do you think Mark knows exactly how many of the 3 exams have passing grades?</t>
  </si>
  <si>
    <t>Based on the context, it is highly likely that all three of Mark's intro bio students have passing grades on the exam.</t>
  </si>
  <si>
    <t>Based on Mark's statement, it is certain that at least 2 out of the 3 exams have passing grades. However, given the context that students in the introductory bio class almost always pass their exams, it is highly likely that the third exam also has a passing grade. Therefore, I would distribute the money as follows:
$0 on 0 exams passing,
$0 on 1 exam passing,
$10 on 2 exams passing,
$90 on 3 exams passing.</t>
  </si>
  <si>
    <t>Response: Based on Mark's statement, it seems that he does not know exactly how many of the 3 exams have passing grades. He has only looked at 2 of the 3 exams, thus he can't definitively state the result of the third exam.</t>
  </si>
  <si>
    <t>N</t>
  </si>
  <si>
    <t>letters</t>
  </si>
  <si>
    <t>Letters to Laura's company almost always have checks inside.&lt;br&gt; Today Laura received 3 letters.</t>
  </si>
  <si>
    <t>How many of the 3 letters do you think have checks inside?</t>
  </si>
  <si>
    <t>Laura tells you on the phone: 'I have looked at 3 of the 3 letters. 1 of the letters has checks inside.'</t>
  </si>
  <si>
    <t>Now how many of the 3 letters do you think have checks inside?</t>
  </si>
  <si>
    <t>Do you think Laura knows exactly how many of the 3 letters have checks inside?</t>
  </si>
  <si>
    <t>Based on the context, it is likely that all 3 letters Laura received have checks inside.</t>
  </si>
  <si>
    <t>Based on Laura's statement, it is certain that 1 of the 3 letters has checks inside. Therefore, I would distribute the money as follows: 
$0 on 0 letters, 
$100 on 1 letter, 
$0 on 2 letters, 
$0 on 3 letters.</t>
  </si>
  <si>
    <t>Response: Yes, Laura knows exactly how many of the 3 letters have checks inside because she stated that she has looked at all 3 of them and found checks in 1 of the letters.</t>
  </si>
  <si>
    <t>Y</t>
  </si>
  <si>
    <t>tickets</t>
  </si>
  <si>
    <t>Tickets in the DoubleDay instant lottery almost always win.&lt;br&gt; Joe bought 3 DoubleDay tickets yesterday.</t>
  </si>
  <si>
    <t>How many of the 3 tickets do you think have won?</t>
  </si>
  <si>
    <t>Joe tells you on the phone: 'I have looked at 3 of the 3 tickets. 2 of the tickets have won.'</t>
  </si>
  <si>
    <t>Now how many of the 3 tickets do you think have won?</t>
  </si>
  <si>
    <t>Do you think Joe knows exactly how many of the 3 tickets have won?</t>
  </si>
  <si>
    <t>Based on the context, it can be inferred that probably all the 3 tickets Joe bought have won because tickets in the DoubleDay instant lottery almost always win.</t>
  </si>
  <si>
    <t>Based on Joe's statement, the division would be: 
Option 0: $0 
Option 1: $0 
Option 2: $100 
Option 3: $0 
This is because Joe has confirmed that 2 of the 3 tickets have won.</t>
  </si>
  <si>
    <t>Response: Yes, Joe knows exactly how many of the 3 tickets have won because he stated that he has looked at all 3 tickets and confirmed that 2 of them have won.</t>
  </si>
  <si>
    <t>fruits</t>
  </si>
  <si>
    <t>Mongines are small fruits that almost always have dried out pith inside.&lt;br&gt; Monica bought 3 mondrine fruits yesterday.</t>
  </si>
  <si>
    <t>How many of the 3 fruits do you think have dried out pith?</t>
  </si>
  <si>
    <t>Monica tells you on the phone: 'I have looked at 1 of the 3 fruits. 1 of the fruits has dried out pith.'</t>
  </si>
  <si>
    <t>Now how many of the 3 fruits do you think have dried out pith?</t>
  </si>
  <si>
    <t>Do you think Monica knows exactly how many of the 3 fruits have dried out pith?</t>
  </si>
  <si>
    <t>Based on the context provided, it can be inferred that all 3 mondrine fruits Monica bought likely have dried out pith inside. This is because it was stated that mongines, which we can assume mondrine fruits are a type of, almost always have dried out pith inside.</t>
  </si>
  <si>
    <t>Based on the new information provided by Monica, we can be certain that at least 1 of the 3 fruits has dried out pith. However, given the original context that mongines almost always have dried out pith, it's still likely that the remaining 2 fruits also have dried out pith. Therefore, here's how I would distribute the $100:
- $0 on 0 fruits
- $10 on 1 fruit
- $30 on 2 fruits
- $60 on 3 fruits
This distribution reflects the certainty that at least 1 fruit has dried out pith, but also the high likelihood based on the context that all 3 fruits might have dried out pith.</t>
  </si>
  <si>
    <t>Response: Based on Monica's statement, it's clear that she has only examined 1 of the 3 fruits she bought. Therefore, Monica likely does not know exactly how many of the 3 fruits have dried out pith, as she has not yet checked the remaining 2 fruits.</t>
  </si>
  <si>
    <t>phones</t>
  </si>
  <si>
    <t>Broken Sigo phones almost always have burned out transistors.&lt;br&gt; Ben must repair 3 broken Sigo phones.</t>
  </si>
  <si>
    <t>How many of the 3 phones do you think have burned out transistors?</t>
  </si>
  <si>
    <t>Ben tells you on the phone: 'I have looked at 2 of the 3 phones. 1 of the phones has burned out transistors.'</t>
  </si>
  <si>
    <t>Now how many of the 3 phones do you think have burned out transistors?</t>
  </si>
  <si>
    <t>Do you think Ben knows exactly how many of the 3 phones have burned out transistors?</t>
  </si>
  <si>
    <t>Based on the context, it can be inferred that all 3 of the broken Sigo phones likely have burned out transistors, as it is stated that broken Sigo phones almost always have this issue.</t>
  </si>
  <si>
    <t>Based on the new information, it can be inferred that one of the phones has confirmed burned out transistors and the other one inspected by Ben does not. Given the initial statement that broken Sigo phones almost always have this issue, it's likely that the third, un-inspected phone may also have burned out transistors. However, given that one of the two inspected didn't have this issue, there's some uncertainty. 
Here's a possible division of the $100:
- $0 on 0 phones (since we already know at least one phone has burned out transistors)
- $5 on 1 phone (we know one phone has the issue, but it's less likely that no more phones will have it)</t>
  </si>
  <si>
    <t>Response: Based on the information provided, Ben does not know exactly how many of the 3 phones have burned out transistors. He has only examined 2 of the 3 phones so far, and therefore does not have complete information about all the phones.</t>
  </si>
  <si>
    <t>?</t>
  </si>
  <si>
    <t>seeds</t>
  </si>
  <si>
    <t>Corendula seeds almost always sprout within a day when put into water.&lt;br&gt; Two days ago, botanist Jim put 3 Corendula seeds into water.</t>
  </si>
  <si>
    <t>How many of the 3 seeds do you think have sprouted?</t>
  </si>
  <si>
    <t>Jim tells you on the phone: 'I have looked at 3 of the 3 seeds. 3 of the seeds have sprouted.'</t>
  </si>
  <si>
    <t>Now how many of the 3 seeds do you think have sprouted?</t>
  </si>
  <si>
    <t>Do you think Jim knows exactly how many of the 3 seeds have sprouted?</t>
  </si>
  <si>
    <t>Based on the context, it is highly likely that all 3 Corendula seeds have sprouted.</t>
  </si>
  <si>
    <t>Based on Jim's statement, I would divide the money as follows:
- $0 on 0 seeds
- $0 on 1 seed
- $0 on 2 seeds
- $100 on 3 seeds
This division demonstrates complete confidence that all 3 seeds have sprouted based on Jim's direct observation and confirmation.</t>
  </si>
  <si>
    <t>Response: Yes, Jim knows exactly how many of the 3 seeds have sprouted because he directly observed and confirmed that all 3 seeds have sprouted.</t>
  </si>
  <si>
    <t>Mark tells you on the phone: 'I have looked at 3 of the 3 exams. 3 of the exams have passing grades.'</t>
  </si>
  <si>
    <t>Based on the context, it is likely that all three of Mark's intro bio students have passing grades on the exam.</t>
  </si>
  <si>
    <t>Based on Mark's statement, it is clear that all three exams have passing grades. Therefore, I would bet as follows: 
$0 on option 0 
$0 on option 1 
$0 on option 2 
$100 on option 3</t>
  </si>
  <si>
    <t>Response: Yes, Mark knows exactly how many of the 3 exams have passing grades because he stated that he has looked at all of the exams and confirmed they all have passing grades.</t>
  </si>
  <si>
    <t>Laura tells you on the phone: 'I have looked at 3 of the 3 letters. 2 of the letters have checks inside.'</t>
  </si>
  <si>
    <t>Based on the context, it can be inferred that all 3 letters Laura received today might have checks inside.</t>
  </si>
  <si>
    <t>Response: Now that Laura has confirmed, I would distribute the $100 as follows: 
$0 on 0, 
$0 on 1, 
$100 on 2, 
$0 on 3.
This indicates total confidence that 2 out of the 3 letters have checks inside.</t>
  </si>
  <si>
    <t>Response: Yes, Laura knows exactly how many of the 3 letters have checks inside because she stated that she has looked at all 3 of the letters and confirmed that 2 of them have checks inside.</t>
  </si>
  <si>
    <t>Joe tells you on the phone: 'I have looked at 3 of the 3 tickets. 1 of the tickets has won.'</t>
  </si>
  <si>
    <t>Based on the context, it is highly likely that all 3 tickets that Joe bought have won since DoubleDay instant lottery tickets almost always win.</t>
  </si>
  <si>
    <t>Based on Joe's statement, 1 of the 3 tickets has won. Therefore, I would divide the $100 as follows:
- $0 on option 0, because Joe confirmed that at least one ticket won.
- $100 on option 1, because Joe explicitly stated that one of the tickets has won.
- $0 on option 2, because Joe didn't mention more than one winning ticket.
- $0 on option 3, for the same reason.</t>
  </si>
  <si>
    <t>Response: Yes, Joe knows exactly how many of the 3 tickets have won because he stated that he has looked at all 3 tickets and confirmed that 1 of them has won.</t>
  </si>
  <si>
    <t>Monica tells you on the phone: 'I have looked at 2 of the 3 fruits. 1 of the fruits has dried out pith.'</t>
  </si>
  <si>
    <t>Based on the context, it can be inferred that all 3 mondrine fruits likely have dried out pith inside, as it's mentioned that mongines almost always have dried out pith.</t>
  </si>
  <si>
    <t>Given the new information, the betting distribution could look like this:
- $0 on 0 fruits, because we already know at least 1 fruit has dried out pith.
- $10 on 1 fruit, as we know for sure one of them has dried out pith. However, considering the context, it's less probable that only this fruit has dried out pith.
- $40 on 2 fruits, there's a possibility that the 3rd fruit also has dried out pith, but Monica hasn't checked it yet.
- $50 on 3 fruits, given the context that mongines almost always have dried out pith, it's more likely that the 3rd fruit (which Monica hasn't checked yet</t>
  </si>
  <si>
    <t>Response: No, Monica doesn't know exactly how many of the 3 fruits have dried out pith, because she has only checked 2 of the 3 fruits so far.</t>
  </si>
  <si>
    <t>Ben tells you on the phone: 'I have looked at 1 of the 3 phones. 1 of the phones has burned out transistors.'</t>
  </si>
  <si>
    <t>While the context suggests that broken Sigo phones "almost always" have burned out transistors, it does not provide a specific probability or ratio for this occurrence. So, it is highly likely that all 3 phones have burned out transistors, but without specific data, we can't definitively say all 3 have this issue.</t>
  </si>
  <si>
    <t>The speaker's statement confirms that one phone definitely has burned out transistors. Considering the context that most broken Sigo phones have this issue, here's how I'd distribute the $100:
- 0 phones with burned out transistors: $0 (We already know that at least one phone has this issue.)
- 1 phone with burned out transistors: $10 (We know one phone has this issue, but it's less likely that only one does given the context.)
- 2 phones with burned out transistors: $30 (It's quite possible that another phone also has this issue.)
- 3 phones with burned out transistors: $60 (Given the context, it's most probable that all</t>
  </si>
  <si>
    <t>Response: Based on the information provided, it's unclear whether Ben knows exactly how many of the 3 phones have burned out transistors. He has only confirmed the condition of one phone so far. Therefore, as of now, we cannot assert that Ben knows the exact number of phones with burned out transistors.</t>
  </si>
  <si>
    <t>3?</t>
  </si>
  <si>
    <t>uncertain N</t>
  </si>
  <si>
    <t>Jim tells you on the phone: 'I have looked at 2 of the 3 seeds. 2 of the seeds have sprouted.'</t>
  </si>
  <si>
    <t>Given that Corendula seeds almost always sprout within a day when put into water, it is highly likely that all 3 seeds that botanist Jim put into water two days ago have sprouted by now.</t>
  </si>
  <si>
    <t>Given the information provided, the distribution would look something like this:
- 0 seeds sprouted: $0 
- 1 seed sprouted: $0
- 2 seeds sprouted: $0
- 3 seeds sprouted: $100
This is because Jim has confirmed that 2 of the 3 seeds have already sprouted, and given the high likelihood of Corendula seeds sprouting within a day when put into water, it's reasonable to assume with high confidence that the remaining seed has also sprouted. Therefore, all the money is bet on the option that all 3 seeds have sprouted.</t>
  </si>
  <si>
    <t>Response: Based on the information provided, it seems that Jim might not know exactly how many of the 3 seeds have sprouted. Although he has confirmed that 2 of the seeds have sprouted, he has only looked at 2 of the 3 seeds. Therefore, he cannot definitively know the condition of the third seed unless he examines it.</t>
  </si>
  <si>
    <t>Mark tells you on the phone: 'I have looked at 2 of the 3 exams. 1 of the exams has passing grades.'</t>
  </si>
  <si>
    <t>Based on the context, it's likely that all 3 of Mark's intro bio students have passing grades on the exam.</t>
  </si>
  <si>
    <t>Based on Mark's statement, we know for sure that at least one of the exams has a passing grade. However, we also know that students in the introductory bio class almost always pass the exam. So, it's reasonable to believe that the other two exams likely have passing grades as well. Therefore, I would suggest dividing the $100 as follows:
$0 on 0 (since we know at least one exam has a passing grade)
$5 on 1 (since it's possible, but unlikely, that only one exam has a passing grade)
$20 on 2 (since it's possible that only two exams have passing grades, but given the context, it's less likely)
$75 on 3 (since based on the</t>
  </si>
  <si>
    <t>Response: Based on his statement, Mark does not know exactly how many of the 3 exams have passing grades. He has only looked at 2 of the 3 exams, so he cannot be certain about the grade on the third exam.</t>
  </si>
  <si>
    <t>Laura tells you on the phone: 'I have looked at 2 of the 3 letters. 2 of the letters have checks inside.'</t>
  </si>
  <si>
    <t>Based on the context, it's likely that all 3 letters Laura received today have checks inside.</t>
  </si>
  <si>
    <t>Based on Laura's statement, we already know that 2 of the letters have checks inside. If letters to Laura's company almost always have checks inside, it's highly likely that the third letter also has a check. However, there's a small chance that it might not. So, my betting would be:
- 0: $0
- 1: $0
- 2: $10
- 3: $90
This means I'm almost certain that all 3 letters have checks, but there's a small chance that only 2 of them do.</t>
  </si>
  <si>
    <t>Response: Based on Laura's statement, she has only looked at 2 of the 3 letters so far. Therefore, Laura does not know exactly how many of the 3 letters have checks inside yet.</t>
  </si>
  <si>
    <t>Joe tells you on the phone: 'I have looked at 3 of the 3 tickets. 3 of the tickets have won.'</t>
  </si>
  <si>
    <t>Based on the context, it can be inferred that most likely all 3 of the tickets that Joe bought have won, as it is stated that tickets in the DoubleDay instant lottery almost always win.</t>
  </si>
  <si>
    <t>Based on the speaker's statement, my confidence distribution would be:
$0 for the options 0, 1, and 2;
$100 for the option 3.
This is because Joe confirmed that all 3 of his tickets have won.</t>
  </si>
  <si>
    <t>Response: Yes, Joe knows exactly how many of the 3 tickets have won, as he stated that he has looked at all 3 tickets and confirmed that all 3 of them have won.</t>
  </si>
  <si>
    <t>Monica tells you on the phone: 'I have looked at 3 of the 3 fruits. 1 of the fruits has dried out pith.'</t>
  </si>
  <si>
    <t>Based on the context, it is likely that all 3 mondrine fruits that Monica bought have dried out pith.</t>
  </si>
  <si>
    <t>Based on Monica's statement, it's clear that only 1 of the 3 fruits has dried out pith. Therefore, I would bet:
$0 on 0,
$100 on 1,
$0 on 2,
$0 on 3.</t>
  </si>
  <si>
    <t>Response: Yes, Monica knows exactly how many of the 3 fruits have dried out pith. She has examined all the fruits and confirmed that only 1 of them has dried out pith.</t>
  </si>
  <si>
    <t>Ben tells you on the phone: 'I have looked at 3 of the 3 phones. 2 of the phones have burned out transistors.'</t>
  </si>
  <si>
    <t>Based on the context, it can be inferred that all 3 broken Sigo phones likely have burned out transistors.</t>
  </si>
  <si>
    <t>Based on Ben's statement, it can be inferred that 2 of the 3 phones have burned out transistors. So, the money should be divided as follows:
$0 on 0
$0 on 1
$100 on 2
$0 on 3</t>
  </si>
  <si>
    <t>Response: Yes, based on his statement, it can be inferred that Ben knows exactly how many of the 3 phones have burned out transistors.</t>
  </si>
  <si>
    <t>Jim tells you on the phone: 'I have looked at 1 of the 3 seeds. 1 of the seeds has sprouted.'</t>
  </si>
  <si>
    <t>Based on the context provided, it is highly likely that all 3 Corendula seeds have sprouted.</t>
  </si>
  <si>
    <t>Based on what Jim has said, we can be certain that at least 1 seed has sprouted. Given the high likelihood that Corendula seeds sprout within a day when put into water, it's reasonable to assume that the other two seeds have also sprouted. However, because Jim has only confirmed that 1 seed has sprouted, there is a possibility that the other seeds have not sprouted. Therefore, I would distribute the $100 as follows:
- $0 on 0 (we know at least 1 seed has sprouted)
- $5 on 1 (since 1 seed has definitely sprouted but it is unlikely that only 1 has sprouted given the high sprouting rate)
- $25 on</t>
  </si>
  <si>
    <t>Response: Based on Jim's statement, it appears that he only checked 1 of the 3 seeds. Therefore, it's likely that Jim does not know exactly how many of the 3 seeds have sprouted.</t>
  </si>
  <si>
    <t>70?</t>
  </si>
  <si>
    <t>Mark tells you on the phone: 'I have looked at 3 of the 3 exams. 1 of the exams has passing grades.'</t>
  </si>
  <si>
    <t>Based on the context given, it is likely that all three of Mark's intro bio students have passing grades on the exam.</t>
  </si>
  <si>
    <t>Based on Mark's statement that he has looked at all three exams and one of them has a passing grade, I would divide the $100 as follows:
0 - $0
1 - $100
2 - $0
3 - $0
This is because Mark's statement provides definite information that only one exam has a passing grade.</t>
  </si>
  <si>
    <t>Response: Yes, Mark knows exactly how many of the 3 exams have passing grades. He stated that he has looked at all three exams and confirmed that one of them has a passing grade.</t>
  </si>
  <si>
    <t>Based on the context, it can be inferred that all 3 letters Laura received today may have checks inside.</t>
  </si>
  <si>
    <t>Based on Laura's statement, it can be inferred that at least 2 out of the 3 letters have checks inside. However, there is still one letter that Laura has not looked at yet. Given the context that letters to Laura's company almost always have checks inside, it's highly likely that the third letter also contains a check. So here is my suggestion for distributing the $100:
0 checks: $0
1 check: $0 
2 checks: $10
3 checks: $90 
This distribution reflects a high level of confidence that the remaining letter also contains a check, but it also acknowledges a small possibility that it does not.</t>
  </si>
  <si>
    <t>Response: No, Laura does not know exactly how many of the 3 letters have checks inside. She has only looked at 2 of the 3 letters so far.</t>
  </si>
  <si>
    <t>Joe tells you on the phone: 'I have looked at 1 of the 3 tickets. 1 of the tickets has won.'</t>
  </si>
  <si>
    <t>Based on the context that tickets in the DoubleDay instant lottery almost always win, it's highly likely that all 3 of Joe's tickets won.</t>
  </si>
  <si>
    <t>Based on Joe's statement, we know for certain that at least 1 of the 3 tickets has won. Considering the context that tickets in the DoubleDay instant lottery almost always win, it's still highly likely that the remaining two tickets have also won.
Confidence division:
- $0 on 0 tickets winning
- $0 on 1 ticket winning (since we know at least one already won)
- $20 on 2 tickets winning
- $80 on 3 tickets winning</t>
  </si>
  <si>
    <t>Response: No, Joe does not know exactly how many of the 3 tickets have won. Based on his statement, he has only checked 1 of the 3 tickets.</t>
  </si>
  <si>
    <t>Based on the context, it's likely that all 3 of the mondrines Monica bought have dried out pith inside, as it is mentioned that they almost always do.</t>
  </si>
  <si>
    <t>Based on the new information from Monica, she has checked 2 out of the 3 fruits and only 1 has dried out pith. However, given that mondrines almost always have dried out pith, it is still possible that the last unexamined fruit also has dried out pith. Therefore, my confidence would be divided as follows:
- $0 on 0 fruits
- $0 on 1 fruit
- $50 on 2 fruits
- $50 on 3 fruits</t>
  </si>
  <si>
    <t>Response: Based on the information given, Monica does not yet know exactly how many of the 3 fruits have dried out pith. She has only checked 2 out of the 3 fruits so far.</t>
  </si>
  <si>
    <t>Ben tells you on the phone: 'I have looked at 3 of the 3 phones. 3 of the phones have burned out transistors.'</t>
  </si>
  <si>
    <t>Based on Ben's statement, it is confirmed that all 3 phones have burned out transistors. Therefore, I would allocate the betting as follows:
$0 on 0 phones,
$0 on 1 phone,
$0 on 2 phones,
$100 on 3 phones.</t>
  </si>
  <si>
    <t>Response: Based on Ben's statement, it is clear that he has examined all 3 phones and found that all of them have burned out transistors. Therefore, we can confidently say that Ben knows exactly how many of the 3 phones have burned out transistors.</t>
  </si>
  <si>
    <t>Jim tells you on the phone: 'I have looked at 3 of the 3 seeds. 2 of the seeds have sprouted.'</t>
  </si>
  <si>
    <t>Based on Jim's statement, we can confidently say that 2 seeds have sprouted. So, I would divide the $100 as follows:
- $0 on 0 seeds sprouted
- $0 on 1 seed sprouted
- $100 on 2 seeds sprouted
- $0 on 3 seeds sprouted</t>
  </si>
  <si>
    <t>Response: Yes, Jim knows exactly how many of the 3 seeds have sprouted because he stated that he has looked at all 3 seeds and confirmed that 2 of them have sprouted.</t>
  </si>
  <si>
    <t>Based on the context given, it's likely that all 3 of Mark's intro bio students have passing grades on the exam. However, without specific grade information, this is an assumption based on general trends and may not be exact.</t>
  </si>
  <si>
    <t>Based on Mark's statement, it is confirmed that all 3 of his intro bio students have passing grades on the exam. Therefore, I would distribute the $100 as follows:
$0 on 0, $0 on 1, $0 on 2, and $100 on 3.</t>
  </si>
  <si>
    <t>Response: Yes, Mark knows exactly how many of the 3 exams have passing grades because he stated that he has looked at all 3 exams and confirmed that all 3 of them have passing grades.</t>
  </si>
  <si>
    <t>Laura tells you on the phone: 'I have looked at 1 of the 3 letters. 1 of the letters has checks inside.'</t>
  </si>
  <si>
    <t>Given the context, it's highly likely that all 3 letters Laura received today have checks inside.</t>
  </si>
  <si>
    <t>Given the new information that Laura has confirmed one of the letters has a check inside, it is certain that at least one check is present. However, given the past trend, it is still likely that the remaining letters could contain checks. Here is how I would divide the $100 based on the information:
- 0 checks: $0 (We already know one letter has a check)
- 1 check: $10 (It's possible, but unlikely, that the remaining two letters don't have checks)
- 2 checks: $30 (There's a reasonable chance that one of the remaining letters doesn't have a check)
- 3 checks: $60 (Given the past trend, it's most likely that all letters contain checks</t>
  </si>
  <si>
    <t>Response: Based on the information provided, Laura only knows for certain about the contents of 1 letter. Until she opens the remaining 2 letters, she can't know exactly how many of the 3 letters have checks inside. So, the answer is no, Laura doesn't know exactly how many of the 3 letters have checks inside.</t>
  </si>
  <si>
    <t>Joe tells you on the phone: 'I have looked at 2 of the 3 tickets. 2 of the tickets have won.'</t>
  </si>
  <si>
    <t>Based on the context, it can be inferred that most likely all 3 of Joe's DoubleDay tickets have won, since tickets in the DoubleDay instant lottery almost always win.</t>
  </si>
  <si>
    <t>Based on Joe's statement that 2 of the tickets have won, the following would be an appropriate distribution of confidence:
- $0 on 0 tickets winning 
- $0 on 1 ticket winning 
- $20 on 2 tickets winning 
- $80 on 3 tickets winning 
The majority of the confidence is on all 3 tickets winning, because it was previously stated that tickets in the DoubleDay lottery almost always win. However, there is some uncertainty because Joe has not yet checked the third ticket.</t>
  </si>
  <si>
    <t>Response: No, Joe does not know exactly how many of the 3 tickets have won because he has only looked at 2 of the 3 tickets.</t>
  </si>
  <si>
    <t>Monica tells you on the phone: 'I have looked at 3 of the 3 fruits. 2 of the fruits have dried out pith.'</t>
  </si>
  <si>
    <t>Based on the context, it can be inferred that all 3 of the mondrine fruits Monica bought yesterday likely have dried out pith inside.</t>
  </si>
  <si>
    <t>Based on Monica's statement, we can be sure that 2 of the 3 fruits have dried out pith. So I would bet:
- $0 on 0 fruits
- $0 on 1 fruit
- $100 on 2 fruits
- $0 on 3 fruits</t>
  </si>
  <si>
    <t>Response: Yes, Monica knows exactly how many of the 3 fruits have dried out pith because she stated that she has inspected all 3 fruits and found that 2 of them have dried out pith.</t>
  </si>
  <si>
    <t>Ben tells you on the phone: 'I have looked at 3 of the 3 phones. 1 of the phones has burned out transistors.'</t>
  </si>
  <si>
    <t>Based on the context given, it can be inferred that all 3 broken Sigo phones that Ben must repair likely have burned out transistors.</t>
  </si>
  <si>
    <t>Based on Ben's statement, we know for sure that at least 1 of the phones has burned out transistors. There's no information about the other two phones, so we can't be certain whether they have burned out transistors or not. However, given the previous context stating that broken Sigo phones almost always have burned out transistors, it's still somewhat likely that the other two phones might also have this issue.
Here's a possible way to divide the $100, reflecting this uncertainty:
- $0 on 0 (since we know at least one phone has burned out transistors)
- $30 on 1 (reflecting the certainty of one phone with burned out transistors)
- $35 on</t>
  </si>
  <si>
    <t>Response: Based on his statement, Ben has examined all three phones and confirmed that one of them has burned out transistors. Since he did not mention any issues with the other two, it's likely that Ben knows whether they have burned out transistors or not. Therefore, yes, I believe Ben knows exactly how many of the 3 phones have burned out transistors.</t>
  </si>
  <si>
    <t>35?</t>
  </si>
  <si>
    <t>55?</t>
  </si>
  <si>
    <t>Jim tells you on the phone: 'I have looked at 2 of the 3 seeds. 1 of the seeds has sprouted.'</t>
  </si>
  <si>
    <t>Given the updated information from Jim, we know for certain that at least 1 seed has sprouted. Since Corendula seeds almost always sprout within a day when put into water, it is still highly likely that the remaining seed has also sprouted. However, given the fact that one of the two seeds Jim checked had not sprouted, we must also consider the possibility that the third may not have sprouted. Here's how I would divide the $100:
- 0 seeds: $0
- 1 seed: $0 (since we know at least one has sprouted)
- 2 seeds: $40 (there's some chance the third seed has not sprouted)
- 3 seeds: $60 (it</t>
  </si>
  <si>
    <t>Response: No, Jim does not know exactly how many of the 3 seeds have sprouted. He has only checked 2 out of the 3 seeds.</t>
  </si>
  <si>
    <t>60?</t>
  </si>
  <si>
    <t>Based on the context, it can be inferred that likely all 3 of Mark's intro bio students have passing grades on the exam.</t>
  </si>
  <si>
    <t>Based on the speaker's statement, we can be certain that at least 2 of the exams have passing grades. The third exam's result is unknown, but given the initial context that students in the introductory bio class almost always pass, it is likely that the third exam also has a passing grade. Therefore, I would distribute the money as follows:
$0 on 0
$0 on 1
$20 on 2
$80 on 3
This distribution reflects a high confidence that all three exams have passing grades, but allows for a small possibility that one of the exams does not.</t>
  </si>
  <si>
    <t>Response: Based on the speaker's statement, Mark only knows the results of 2 out of the 3 exams. Therefore, he does not know exactly how many of the 3 exams have passing grades.</t>
  </si>
  <si>
    <t>Based on the context, it is likely that all 3 letters Laura received today have checks inside.</t>
  </si>
  <si>
    <t>Based on Laura's statement, it is certain that 1 of the 3 letters has checks inside. Therefore, I would distribute the money as follows:
- $0 on 0
- $100 on 1
- $0 on 2
- $0 on 3</t>
  </si>
  <si>
    <t>Response: Yes, Laura knows exactly how many of the 3 letters have checks inside because she stated that she had looked at all 3 letters and found that 1 of them has checks inside.</t>
  </si>
  <si>
    <t>Joe tells you on the phone: 'I have looked at 2 of the 3 tickets. 1 of the tickets has won.'</t>
  </si>
  <si>
    <t>Based on the context provided, it can be inferred that probably all three tickets that Joe bought have won, since tickets in the DoubleDay instant lottery almost always win.</t>
  </si>
  <si>
    <t>Based on the new statement, Joe has confirmed that at least one of the tickets has won. So, the options of 0 or 1 winning tickets can be ruled out. The third ticket has not been checked yet. However, considering the high winning rate of the DoubleDay lottery, it is safe to assume that the third ticket could also be a winner. Thus, I would divide the $100 as follows:
- $0 on 0 winning tickets
- $0 on 1 winning ticket
- $40 on 2 winning tickets
- $60 on 3 winning tickets
This distribution reflects a higher confidence in the third ticket also being a winner, but not absolute certainty.</t>
  </si>
  <si>
    <t>Response: Based on Joe's statement, he has only looked at two of the three tickets. Therefore, he does not know exactly how many of the three tickets have won until he checks the third ticket. So, the answer is no, Joe does not know exactly how many of the three tickets have won yet.</t>
  </si>
  <si>
    <t>Based on the context, it can be inferred that all 3 mondrine fruits Monica bought likely have dried out pith, as it is stated that mongines almost always have dried out pith inside.</t>
  </si>
  <si>
    <t>Based on the context and Monica's statement, it's safe to say she confirmed one fruit has dried out pith. There are two fruits left, and given that mongines almost always have dried out pith, it's likely that the remaining fruits will also have dried out pith. However, there's a small chance that one or both might not have dried out pith. So, considering these possibilities, I would distribute the $100 as follows:
$0 on 0 (It's almost certain that at least one fruit has dried out pith, because Monica confirmed it.)
$5 on 1 (There's a very small chance that the remaining two fruits do not have dried out pith.)
$35 on 2 (There</t>
  </si>
  <si>
    <t>Response: Based on Monica's statement, she has checked only one of the fruits, therefore, it's not likely she knows exactly how many of the 3 fruits have dried out pith. She would need to check the other two fruits to know for certain.</t>
  </si>
  <si>
    <t>Based on the context, it can be inferred that likely all 3 of the broken Sigo phones Ben must repair have burned out transistors.</t>
  </si>
  <si>
    <t>Given Ben's statement, the distribution of confidence should be:
$0 on 0 phones,
$0 on 1 phone,
$100 on 2 phones,
$0 on 3 phones.</t>
  </si>
  <si>
    <t>Response: Yes, Ben knows exactly how many of the 3 phones have burned out transistors because he stated that he has looked at all 3 phones and confirmed that 2 of them have burned out transistors.</t>
  </si>
  <si>
    <t>Based on the context, it is likely that all 3 Corendula seeds have sprouted.</t>
  </si>
  <si>
    <t>Based on Jim's statement, it is certain that all 3 seeds have sprouted. 
$0 on option 0, $0 on option 1, $0 on option 2, $100 on option 3.</t>
  </si>
  <si>
    <t>Response: Yes, based on his statement, Jim knows exactly how many of the 3 seeds have sprouted.</t>
  </si>
  <si>
    <t>Based on the context, it can be inferred that likely all 3 of Mark's intro bio students have passing grades on their exams, as it's stated that students in this class almost always pass.</t>
  </si>
  <si>
    <t>$0 on 0, $0 on 1, $50 on 2, $50 on 3. 
This distribution reflects the information given by Mark that at least one exam has a passing grade, and the remaining ungraded exam could either have a passing grade (which is likely given the context) or not, hence the equal confidence on 2 and 3 passing grades. There's no confidence on 0 or 1 because we already know at least one exam has a passing grade.</t>
  </si>
  <si>
    <t>Response: No, Mark does not know exactly how many of the 3 exams have passing grades because he has only looked at 2 of the 3 exams.</t>
  </si>
  <si>
    <t>Laura tells you on the phone: 'I have looked at 3 of the 3 letters. 3 of the letters have checks inside.'</t>
  </si>
  <si>
    <t>Based on Laura's statement, it is confirmed that all 3 letters have checks inside. Therefore, I would bet as follows:
$0 on 0,
$0 on 1,
$0 on 2,
$100 on 3.</t>
  </si>
  <si>
    <t>Response: Yes, Laura knows exactly how many of the 3 letters have checks inside because she stated that she has looked at all 3 letters and confirmed that all of them have checks inside.</t>
  </si>
  <si>
    <t>Based on the context, it is highly likely that all 3 tickets Joe bought have won since DoubleDay instant lottery tickets almost always win.</t>
  </si>
  <si>
    <t>Based on the context and Joe's statement, I would divide the $100 as follows:
- $0 on option 0 (since Joe already confirmed 2 tickets have won)
- $0 on option 1 (since Joe already confirmed more than 1 ticket has won)
- $10 on option 2 (as Joe has confirmed 2 have won, but the third ticket hasn't been checked yet)
- $90 on option 3 (since DoubleDay tickets almost always win, it's highly likely that the third ticket will be a winner too)</t>
  </si>
  <si>
    <t>Response: No, Joe does not know exactly how many of the 3 tickets have won, as he has only checked 2 of them so far.</t>
  </si>
  <si>
    <t>Based on the context provided, it can be inferred that all 3 mondrine fruits Monica bought yesterday likely have dried out pith inside since it is stated that mongines almost always have dried out pith.</t>
  </si>
  <si>
    <t>Based on Monica's statement, we now know that at least one of the fruits has dried out pith. However, it's unclear whether the remaining two fruits also have dried out pith, but given the initial context that mongines almost always have dried out pith, it's reasonable to believe that there's a chance the remaining fruits also have dried out pith. 
Here's my allocation:
$0 on Option 0 - We know from Monica's statement that at least one fruit has dried out pith.
$10 on Option 1 - Monica has confirmed that one fruit has dried out pith, but it's possible that the other two don't despite the initial context.
$45 on Option 2 - Given the initial context</t>
  </si>
  <si>
    <t>Response: Based on Monica's statement, it seems that Monica has examined all 3 fruits and found that 1 of them has dried out pith. So, yes, it can be inferred that Monica knows exactly how many of the 3 fruits have dried out pith.</t>
  </si>
  <si>
    <t>45?</t>
  </si>
  <si>
    <t>Given the context that "Broken Sigo phones almost always have burned out transistors," it is highly likely that all 3 broken Sigo phones that Ben must repair have burned out transistors. However, without more specific information, we cannot say for certain.</t>
  </si>
  <si>
    <t>Given the new information that Ben has confirmed 1 phone has burned out transistors, and considering the initial context that "Broken Sigo phones almost always have burned out transistors," I would allocate the $100 as follows:
- $0 on 0 phones (as we already know at least one phone has burned out transistors)
- $5 on 1 phone (since one phone already has confirmed burned out transistors, but it's unlikely to be just this one given the initial context)
- $35 on 2 phones (there is a chance that one of the remaining two phones does not have burned-out transistors)
- $60 on 3 phones (given the context, it's still most likely that</t>
  </si>
  <si>
    <t>Response: Based on the information given, it seems like Ben does not know exactly how many of the 3 phones have burned out transistors. He has only examined 1 of the 3 phones and confirmed that it has burned out transistors. We do not have information about whether he has examined the other two phones.</t>
  </si>
  <si>
    <t>Based on the context, it can be assumed that all 3 Corendula seeds have sprouted.</t>
  </si>
  <si>
    <t>Based on Jim's statement, we can be very confident that 2 of the seeds have sprouted. Therefore, the division of $100 would be:
$0 on 0 seeds sprouted
$0 on 1 seed sprouted
$100 on 2 seeds sprouted
$0 on 3 seeds sprouted</t>
  </si>
  <si>
    <t>Response: Yes, Jim knows exactly how many of the 3 seeds have sprouted since he stated that he looked at all 3 seeds and confirmed that 2 of them have sprouted.</t>
  </si>
  <si>
    <t>Based on the context, it would be reasonable to expect that all 3 of Mark's intro bio students have passing grades on the exam.</t>
  </si>
  <si>
    <t>Based on the information Mark provided, we can be sure that at least one of the exams had a passing grade. Given that these are intro bio students and they almost always have passing grades, it is still highly likely that the other two exams have passing grades as well. Therefore, I would divide the $100 in the following way:
- $0 on 0 exams passing
- $10 on 1 exam passing
- $40 on 2 exams passing
- $50 on 3 exams passing
This distribution reflects a high level of confidence that at least 2-3 of the exams will have passing grades, while still acknowledging the possibility that only one exam passed based on the information from Mark.</t>
  </si>
  <si>
    <t>Response: Based on the information provided, it seems that Mark does not know exactly how many of the 3 exams have passing grades. He has only looked at 2 of the 3 exams so far, so until he reviews the third exam, he cannot know for certain.</t>
  </si>
  <si>
    <t>Based on the context, it can be inferred that all 3 letters Laura received today may likely have checks inside.</t>
  </si>
  <si>
    <t>Based on Laura's statement, we know that 2 out of the 3 letters have checks inside. So I would divide the $100 as follows: 
0: $0
1: $0
2: $100
3: $0
This shows that I am 100% confident that 2 letters have checks inside, as told by Laura herself.</t>
  </si>
  <si>
    <t>Response: Yes, Laura knows exactly how many of the 3 letters have checks inside because she stated that she has looked at all 3 of the letters and found checks in 2 of them.</t>
  </si>
  <si>
    <t>Given the information that tickets in the DoubleDay instant lottery almost always win, it is likely that all three of Joe's tickets won.</t>
  </si>
  <si>
    <t>Given the speaker's statement that he has looked at all three tickets and all three have won, I would suggest this distribution:
$0 on 0 tickets winning
$0 on 1 ticket winning
$0 on 2 tickets winning
$100 on 3 tickets winning
The statement from Joe explicitly states that all three tickets have won, so based on this information, it is most confident to say that all three have won.</t>
  </si>
  <si>
    <t>Response: Yes, Joe knows exactly how many of the 3 tickets have won. His statement that he has looked at all three tickets and confirmed that all three have won indicates that he has full knowledge of the outcome.</t>
  </si>
  <si>
    <t>Based on the context, it can be inferred that all 3 mondrine fruits that Monica bought might have dried out pith inside, as it is stated that mongines almost always have dried out pith inside.</t>
  </si>
  <si>
    <t>Based on Monica's statement, we know that 1 of the 3 fruits has dried out pith. 
So, I would divide the $100 as follows:
- $0 on 0 fruits (since we know at least one fruit has dried out pith)
- $80 on 1 fruit (because Monica confirmed this)
- $15 on 2 fruits (there is a small chance that Monica might be mistaken or that the condition of the fruits might change)
- $5 on 3 fruits (this is the least likely scenario based on the information Monica provided, but there's still a very small chance, as the context initially suggested that mongines almost always have dried out pith inside)</t>
  </si>
  <si>
    <t>Response: Yes, Monica knows exactly how many of the 3 fruits have dried out pith, as she stated that she had looked at all 3 fruits and found that 1 of them has dried out pith.</t>
  </si>
  <si>
    <t>Based on the context provided, it can be inferred that all 3 broken Sigo phones that Ben must repair likely have burned out transistors.</t>
  </si>
  <si>
    <t>Based on Ben's statement, it's confirmed that at least one phone has burned out transistors. However, considering the initial context that broken Sigo phones almost always have burned out transistors, it's still likely that the remaining two also have this issue. Here's a suggested division of the $100 reflecting this:
- $0 on 0 (since we already know at least one phone has burned out transistors)
- $10 on 1 (since at least one phone has burned out transistors, but it's less likely that only one has this issue)
- $30 on 2 (there's a chance that one of the remaining two doesn't have burned out transistors)
- $60 on</t>
  </si>
  <si>
    <t>Response: Based on Ben's statement, it's clear that he has only inspected one of the three phones so far. Therefore, he likely does not yet know exactly how many of the three phones have burned out transistors. He would need to inspect the remaining two phones to determine this.</t>
  </si>
  <si>
    <t>Based on Jim's statement, I would divide the $100 as follows: 
- $0 on 0 seeds sprouted, because Jim confirmed that at least 2 seeds have sprouted.
- $0 on 1 seed sprouted, because Jim confirmed that at least 2 seeds have sprouted.
- $20 on 2 seeds sprouted, because it is confirmed that 2 seeds have sprouted, but there is still one seed left unchecked.
- $80 on 3 seeds sprouted, because it is highly likely based on the nature of Corendula seeds and the fact that 2 seeds have already sprouted.</t>
  </si>
  <si>
    <t>Response: No, Jim does not know exactly how many of the 3 seeds have sprouted, as he has only checked 2 of them.</t>
  </si>
  <si>
    <t>Based on the context that most students in the introductory bio class almost always have passing grades, it is reasonable to expect that all 3 of Mark's intro bio students have passing grades on their exam.</t>
  </si>
  <si>
    <t>Based on Mark's statement that he has looked at two of the exams and both of them have passing grades, it is reasonable to deduce that at least 2 of the 3 exams have passing grades. Given the initial context that most students in the introductory bio class almost always have passing grades, we can assume that it is likely the third exam also has a passing grade. 
I would divide the $100 as follows:
- $0 on 0 exams with passing grades
- $0 on 1 exam with passing grades
- $10 on 2 exams with passing grades
- $90 on 3 exams with passing grades
Here, $90 on 3 exams with passing grades shows a high level of confidence that all of</t>
  </si>
  <si>
    <t>Response: No, Mark does not know exactly how many of the 3 exams have passing grades, since he has only looked at 2 of the exams.</t>
  </si>
  <si>
    <t>Based on the context, it can be inferred that most likely all 3 letters Laura received today have checks inside.</t>
  </si>
  <si>
    <t>Based on Laura's statement, I would be extremely confident that all 3 letters have checks inside. Therefore, I would divide the $100 as follows: 
$0 on 0 letters 
$0 on 1 letter 
$0 on 2 letters 
$100 on 3 letters</t>
  </si>
  <si>
    <t>Response: Yes, Laura knows exactly how many of the 3 letters have checks inside because she stated that she looked at all 3 letters and all 3 of them have checks inside.</t>
  </si>
  <si>
    <t>Based on the context that DoubleDay instant lottery tickets almost always win, it would be reasonable to assume that all three of Joe's tickets may have won.</t>
  </si>
  <si>
    <t>Response: Based on Joe's statement, at least one ticket has won already. Considering the high probability of winning in the DoubleDay lottery, there is a good chance that the remaining ticket could be a winner too. Therefore, I would distribute the $100 as follows:
$0 for 0 tickets won (since we know at least one has won)
$10 for 1 ticket won (since we know at least one has won, but this allows for the possibility that the remaining ticket is not a winner)
$40 for 2 tickets won (since we know one has won and there is a high chance the other could too)
$50 for 3 tickets won (since this is the most likely scenario given the high winning probability of Double</t>
  </si>
  <si>
    <t>Response: Based on Joe's statement, he has only checked two of the three tickets. So, no, Joe does not know exactly how many of the three tickets have won because he has not looked at the third ticket yet.</t>
  </si>
  <si>
    <t>Based on the context provided, it can be inferred that all 3 mondrine fruits that Monica bought likely have dried out pith inside, as it is stated that mongines almost always have dried out pith.</t>
  </si>
  <si>
    <t>Based on Monica's statement, we can be very confident that 2 of the 3 fruits have dried out pith. Therefore, I would bet as follows: 
- $0 on 0 fruits
- $0 on 1 fruit
- $100 on 2 fruits
- $0 on 3 fruits</t>
  </si>
  <si>
    <t>Response: Yes, Monica knows exactly how many of the 3 fruits have dried out pith. She stated that she has looked at all 3 fruits and found that 2 of them have dried out pith.</t>
  </si>
  <si>
    <t>Given the new information from Ben, my bets would be:
$0 on 0 phones,
$0 on 2 phones,
$0 on 3 phones,
$100 on 1 phone.
This is because Ben has confirmed that only 1 of the 3 phones has burned out transistors.</t>
  </si>
  <si>
    <t>Response: Yes, Ben knows exactly how many of the 3 phones have burned out transistors. He has inspected all 3 phones and confirmed that only 1 of them has burned out transistors.</t>
  </si>
  <si>
    <t>Given the context that Corendula seeds almost always sprout within a day when put into water, it is highly likely that all 3 seeds that botanist Jim put into water two days ago have sprouted.</t>
  </si>
  <si>
    <t>Given the new information that Jim has confirmed one seed has sprouted, it is now known that at least one has sprouted. However, given the context that Corendula seeds almost always sprout within a day when put into water, it is still highly likely that the remaining two seeds have also sprouted. Therefore, I would divide the $100 as follows:
- Option 0 (No seeds have sprouted): $0
- Option 1 (1 seed has sprouted): $5
- Option 2 (2 seeds have sprouted): $15
- Option 3 (All 3 seeds have sprouted): $80
This distribution reflects the high likelihood that all seeds have sprouted, with a small consideration for</t>
  </si>
  <si>
    <t>Response: Based on Jim's statement, it's uncertain if he knows exactly how many of the 3 seeds have sprouted. He only confirmed that he has looked at 1 of the 3 seeds and that 1 seed has sprouted. He did not provide information about the other 2 seeds.</t>
  </si>
  <si>
    <t>Mark tells you on the phone: 'I have looked at 3 of the 3 exams. 2 of the exams have passing grades.'</t>
  </si>
  <si>
    <t>Given the speaker's statement, it's clear that 2 of the 3 exams have passing grades. Therefore, I would divide the money as follows:
- $0 on 0 exams passing
- $0 on 1 exam passing
- $100 on 2 exams passing
- $0 on 3 exams passing</t>
  </si>
  <si>
    <t>Response: Yes, Mark knows exactly how many of the 3 exams have passing grades because he stated that he has looked at all 3 exams and specified that 2 of the exams have passing grades.</t>
  </si>
  <si>
    <t>Based on Laura's statement, it is certain that 2 letters have checks inside. Since she has not yet looked at the third one, we can only guess based on the context that letters to her company almost always have checks inside. So, I would divide the bet as follows:
$0 on 0 letters having checks 
$0 on 1 letter having checks
$20 on 2 letters having checks
$80 on 3 letters having checks</t>
  </si>
  <si>
    <t>Response: No, Laura does not know exactly how many of the 3 letters have checks inside, as she has only looked at 2 of the 3 letters so far.</t>
  </si>
  <si>
    <t>Based on the context that DoubleDay instant lottery tickets almost always win, it's highly likely that all 3 tickets that Joe bought have won.</t>
  </si>
  <si>
    <t>Based on Joe's statement, it's clear that only 1 of the 3 tickets has won. So, I would allocate the $100 as follows: 
$0 on 0, $100 on 1, $0 on 2, $0 on 3. This indicates complete confidence that only 1 ticket has won.</t>
  </si>
  <si>
    <t>Response: Yes, Joe knows exactly how many of the 3 tickets have won. He stated that he looked at all 3 tickets and confirmed that only 1 of them has won.</t>
  </si>
  <si>
    <t>Based on the context, it can be inferred that all 3 mondrine fruits Monica bought would likely have dried out pith inside, as it is stated that mongines almost always have dried out pith.</t>
  </si>
  <si>
    <t>Based on the context and Monica's statement, here would be a reasonable distribution of the $100:
- 0 fruits: $0, because Monica has already confirmed that 1 of the fruits has dried out pith.
- 1 fruit: $10, because although it's unlikely, it's possible that the other 2 fruits do not have dried out pith.
- 2 fruits: $30, because it's plausible that only one more of the remaining fruits has dried out pith.
- 3 fruits: $60, because based on the given context, it is highly likely that all 3 fruits have dried out pith.</t>
  </si>
  <si>
    <t>Response: Based on Monica's statement, it seems that Monica does not know exactly how many of the 3 fruits have dried out pith. She has only checked 1 of the fruits so far.</t>
  </si>
  <si>
    <t>Based on the context, it is likely that all 3 broken Sigo phones have burned out transistors.</t>
  </si>
  <si>
    <t>Based on Ben's statement, it's certain that all 3 phones have burned out transistors. Therefore, I would allocate the money as follows: 
$0 on 0 phones
$0 on 1 phone
$0 on 2 phones
$100 on 3 phones</t>
  </si>
  <si>
    <t>Response: Based on Ben's statement, it's clear that he knows exactly how many of the 3 phones have burned out transistors. So, yes, Ben definitely knows.</t>
  </si>
  <si>
    <t>Based on the information given, I would divide the $100 as follows:
- $0 on 0 sprouted seeds, because we know at least 1 seed has sprouted.
- $0 on 1 sprouted seed, because we know at least 1 seed has sprouted and there is still one seed unchecked.
- $20 on 2 sprouted seeds. There's a chance that the third, unchecked seed has not sprouted, but it's unlikely because Corendula seeds almost always sprout within a day when put into water.
- $80 on 3 sprouted seeds. Given the high sprouting rate of Corendula seeds and the fact that one seed has sprouted already, it's highly likely that the</t>
  </si>
  <si>
    <t>Response: No, Jim does not know exactly how many of the 3 seeds have sprouted, since he has only checked 2 of the 3 seeds.</t>
  </si>
  <si>
    <t>Based on the context, it can be inferred that most likely all 3 of Mark's intro bio students have passing grades on the exam. However, this is an estimation and the actual results may vary.</t>
  </si>
  <si>
    <t>Based on Mark's statement, we know for sure that 1 of the exams has passing grades. However, there is no information about the grades of the other 2 exams. Therefore, I would divide the $100 as follows:
- $0 on 0 exams with passing grades because we know at least one exam has a passing grade.
- $100 on 1 exam with passing grades because we have confirmation from Mark that one exam has a passing grade.
- $0 on 2 exams with passing grades because we don't have any information about the other two exams.
- $0 on 3 exams with passing grades because again we lack information about the remaining exams.</t>
  </si>
  <si>
    <t>Response: Yes, based on the context, it can be inferred that Mark knows exactly how many of the 3 exams have passing grades since he stated that he had looked at all 3 exams.</t>
  </si>
  <si>
    <t>Laura tells you on the phone: 'I have looked at 2 of the 3 letters. 1 of the letters has checks inside.'</t>
  </si>
  <si>
    <t>Based on the context, it's likely that all 3 letters Laura received have checks inside.</t>
  </si>
  <si>
    <t>Based on Laura's statement, we know for certain that one letter has a check inside. For the remaining one that Laura hasn't looked at yet, it's likely to have a check inside given the context. So, my confidence distribution would be as follows:
$0 for 0 letters with checks
$0 for 1 letter with checks
$20 for 2 letters with checks
$80 for 3 letters with checks</t>
  </si>
  <si>
    <t>Response: No, Laura does not know exactly how many of the 3 letters have checks inside, because she has only looked at 2 of the 3 letters.</t>
  </si>
  <si>
    <t>Based on the context that DoubleDay instant lottery tickets almost always win, it's highly probable that all 3 tickets that Joe bought have won.</t>
  </si>
  <si>
    <t>Based on the new information from Joe, it's confirmed that 2 tickets have won. Given that DoubleDay tickets almost always win, there's a high probability that the last ticket will win too. 
Here's how I would divide the $100:
- 0 tickets won: $0
- 1 ticket won: $0
- 2 tickets won: $20
- 3 tickets won: $80 
I'm assigning more confidence to the possibility of all 3 tickets having won because of the high win rate of the DoubleDay lottery. However, I'm not entirely discounting the chance that only 2 tickets have won.</t>
  </si>
  <si>
    <t>Response: Based on Joe's statement, it seems that he has only looked at 2 of the 3 tickets so far. Therefore, it is likely that he does not yet know the result of the third ticket. So, no, Joe probably does not know exactly how many of the 3 tickets have won.</t>
  </si>
  <si>
    <t>Based on the context provided, it can be inferred that all 3 mondrine fruits Monica bought likely have dried out pith inside, as it is stated that Mongines almost always have dried out pith inside.</t>
  </si>
  <si>
    <t>Based on the context and the speaker's statement, my bet distribution would be as follows:
- $0 on 0 fruits
- $10 on 1 fruit
- $30 on 2 fruits
- $60 on 3 fruits
This distribution reflects the likelihood that all of the fruits have dried out pith, given both the general context about Mongines and Monica's specific statement about one fruit she examined. However, there is a small chance that one or two of the remaining fruits may not have dried out pith, hence the smaller amounts bet on those options.</t>
  </si>
  <si>
    <t>Response: Based on the context and the speaker's statement, it can be inferred that Monica does not know exactly how many of the 3 fruits have dried out pith. She has only examined one fruit so far and confirmed that it has dried out pith. Unless she checks the other two fruits, she cannot know for sure.</t>
  </si>
  <si>
    <t>Based on the context, it's likely that all 3 broken Sigo phones have burned out transistors.</t>
  </si>
  <si>
    <t>Based on Ben's statement, I would divide the $100 as follows:
- 0 phones with burned out transistors: $0
- 1 phone with burned out transistors: $0
- 2 phones with burned out transistors: $0
- 3 phones with burned out transistors: $100
This is because Ben confirmed that all 3 phones have burned out transistors.</t>
  </si>
  <si>
    <t>Response: Yes, Ben knows exactly how many of the 3 phones have burned out transistors. He confirmed that all 3 of the phones have this issue.</t>
  </si>
  <si>
    <t>Based on the context, it's highly likely that all 3 Corendula seeds have sprouted, since Corendula seeds almost always sprout within a day when put into water.</t>
  </si>
  <si>
    <t>Given Jim's statement, we can be certain that 2 of the 3 seeds have sprouted. Therefore, I would allocate the money as follows: 
$0 on 0 seeds, 
$0 on 1 seed, 
$100 on 2 seeds, 
$0 on 3 seeds.</t>
  </si>
  <si>
    <t>Response: Yes, Jim knows exactly how many of the 3 seeds have sprouted because he said he has looked at all 3 seeds and observed that 2 of them have sprouted.</t>
  </si>
  <si>
    <t>Based on the context, it can be inferred that likely all 3 of Mark's intro bio students have passing grades on their exams, as it's stated that students in the introductory bio class almost always pass.</t>
  </si>
  <si>
    <t>Based on Mark's statement, it is certain that 2 of the exams have passing grades. Therefore, I would divide the $100 as follows:
- $0 on 0 exams passing
- $0 on 1 exam passing
- $100 on 2 exams passing
- $0 on 3 exams passing
This division reflects complete confidence that 2 exams have passing grades, as stated by Mark.</t>
  </si>
  <si>
    <t>Response: Yes, Mark knows exactly how many of the 3 exams have passing grades because he stated that he has looked at all 3 of the exams and confirmed that 2 of the exams have passing grades.</t>
  </si>
  <si>
    <t>Based on the context, it is likely that all three letters Laura received today have checks inside.</t>
  </si>
  <si>
    <t>Based on the new information Laura provided, we know for sure that at least one of the letters has checks inside. But we don't know about the third letter yet. Given the initial context that letters to Laura's company almost always have checks inside, it is reasonable to assume the third one might also have a check. However, since it's not guaranteed, the confidence in that will be lower. Therefore, I would distribute the $100 in the following way:
0 checks: $0
1 check: $0
2 checks: $50
3 checks: $50</t>
  </si>
  <si>
    <t>Response: No, Laura does not know exactly how many of the 3 letters have checks inside, because she has only opened 2 of the 3 letters and has not confirmed the contents of the third letter.</t>
  </si>
  <si>
    <t>Based on the context, it is highly likely that all 3 tickets that Joe bought have won, as it's stated that tickets in the DoubleDay instant lottery almost always win.</t>
  </si>
  <si>
    <t>Based on the new information, one ticket has definitely won. Considering the high win rate of the DoubleDay lottery, it is highly probable that the remaining tickets have also won.
Here is how I would divide the $100:
0 won: $0
1 won: $10 
2 won: $30 
3 won: $60 
This distribution reflects a high confidence that the remaining tickets have also won, while allowing for the small chance that they have not.</t>
  </si>
  <si>
    <t>Response: Based on the information provided, it seems that Joe only knows the outcome of one ticket so far, which has won. Therefore, it's likely that Joe does not know exactly how many of the 3 tickets have won.</t>
  </si>
  <si>
    <t>Monica tells you on the phone: 'I have looked at 2 of the 3 fruits. 2 of the fruits have dried out pith.'</t>
  </si>
  <si>
    <t>Based on the given context, it can be inferred that all 3 mondrine fruits that Monica bought might have dried out pith inside, since it is stated that mongines (assuming this is the same as mondrine) almost always have dried out pith inside.</t>
  </si>
  <si>
    <t>Based on Monica's statement, she has confirmed that at least 2 out of the 3 fruits have dried out pith. Since mongines almost always have dried out pith, it's likely that the third fruit also has dried out pith, but there's a small chance it might not.
Here's how I would divide the $100:
0: $0
1: $0
2: $10
3: $90 
This means that I'm highly confident that all 3 fruits have dried out pith, but I'm leaving a small chance that only 2 of them might have dried out pith.</t>
  </si>
  <si>
    <t>Response: Based on the information provided, Monica does not know exactly how many of the 3 fruits have dried out pith. She has only checked 2 of the 3 fruits.</t>
  </si>
  <si>
    <t>Based on the context, it's highly probable that all 3 broken Sigo phones have burned out transistors.</t>
  </si>
  <si>
    <t>Based on Ben's statement, it's certain that 1 of the 3 phones has burned out transistors. For the other two, it's unclear, but given the initial context that broken Sigo phones almost always have burned out transistors, it's still likely that they might have burned out transistors as well. 
Here's a possible division of the $100 based on the information available:
- $0 on 0 (since we already know at least one phone has burned out transistors)
- $40 on 1 (We know one for sure has burned out transistors)
- $30 on 2 (There's a chance that one of the two remaining phones has burned out transistors)</t>
  </si>
  <si>
    <t>Response: Yes, Ben likely knows exactly how many of the 3 phones have burned out transistors because he has looked at all 3 of them.</t>
  </si>
  <si>
    <t>30?</t>
  </si>
  <si>
    <t>Based on the context given, it can be inferred that all 3 Corendula seeds that botanist Jim put into water have likely sprouted, as it is mentioned that these seeds almost always sprout within a day when put into water.</t>
  </si>
  <si>
    <t>Based on Jim's statement, it can be inferred with certainty that all 3 seeds have sprouted. Therefore, I would divide the money as follows:
- $0 on 0 seeds sprouting
- $0 on 1 seed sprouting
- $0 on 2 seeds sprouting
- $100 on 3 seeds sprouting</t>
  </si>
  <si>
    <t>Response: Yes, Jim knows exactly how many of the 3 seeds have sprouted because he specifically stated that he has looked at all 3 seeds and that all 3 seeds have sprouted.</t>
  </si>
  <si>
    <t>Based on the context, it is likely that all 3 of Mark's intro bio students have passing grades on the exam.</t>
  </si>
  <si>
    <t>Based on Mark's statement, we know for certain that 1 of the exams has a passing grade. However, we do not have information on the grades of the other two exams. Considering the context that students in the introductory bio class almost always have passing grades, there's still a good chance that the remaining two exams also have passing grades. Therefore, I would divide the $100 as follows:
- $0 on 0 exams passing
- $20 on 1 exam passing
- $40 on 2 exams passing
- $40 on 3 exams passing</t>
  </si>
  <si>
    <t>Response: Yes, based on his statement, it appears that Mark knows exactly how many of the 3 exams have passing grades as he has looked at all 3 of them.</t>
  </si>
  <si>
    <t>Based on the context, it can be inferred that likely all 3 letters Laura received today have checks inside.</t>
  </si>
  <si>
    <t>Based on the updated information from Laura, we know that at least one of the letters has a check inside, and the other one doesn't. The third letter is unknown, but considering the context that letters to Laura's company almost always have checks inside, it's more likely that the third one does contain a check.
So, my confidence would be divided as:
- 0 checks: $0 (because we know at least one check is there)
- 1 check: $10 (because we know at least one check is there)
- 2 checks: $60 (because it's likely the third letter contains a check)
- 3 checks: $30 (less likely, but there's still a chance that Laura made a mistake</t>
  </si>
  <si>
    <t>Response: Based on Laura's statement, it can be inferred that she does not know exactly how many of the 3 letters have checks inside, as she has only looked at 2 of the 3 letters.</t>
  </si>
  <si>
    <t>Given the context that tickets in the DoubleDay instant lottery almost always win, it's highly likely that all 3 tickets that Joe bought have won.</t>
  </si>
  <si>
    <t>Given the new information from Joe, we can be sure that at least 2 of the tickets have won. Considering the high probability of winning in the DoubleDay instant lottery, it's also likely that the third ticket is a winner too. However, until Joe confirms, there's a small chance it might not have won. 
Here's how I'd divide the $100:
- 0 tickets won: $0. Joe has confirmed 2 wins, so there's no chance of this.
- 1 ticket won: $0. Joe has confirmed 2 wins, so there's no chance of this.
- 2 tickets won: $20. There's a small chance that the third ticket didn't win.
- 3 tickets</t>
  </si>
  <si>
    <t>Response: Based on Joe's statement, it appears he has only checked two of the three tickets, both of which have won. Therefore, it's likely that he does not yet know if the third ticket has won. So, no, Joe probably does not know exactly how many of the 3 tickets have won.</t>
  </si>
  <si>
    <t>80?</t>
  </si>
  <si>
    <t>Monica tells you on the phone: 'I have looked at 3 of the 3 fruits. 3 of the fruits have dried out pith.'</t>
  </si>
  <si>
    <t>Based on the context, it would be reasonable to assume that all 3 mondrine fruits Monica bought have dried out pith, as it's stated that mongines, which we can assume are the same as mondrines, almost always have dried out pith.</t>
  </si>
  <si>
    <t>Based on Monica's statement, it's certain that all 3 fruits have dried out pith. 
So, I will divide the $100 as follows:
$0 on option 0,
$0 on option 1,
$0 on option 2,
$100 on option 3.</t>
  </si>
  <si>
    <t>Response: Yes, Monica knows exactly how many of the 3 fruits have dried out pith. She stated that she has looked at all 3 fruits and confirmed that all 3 have dried out pith.</t>
  </si>
  <si>
    <t>Based on Ben's statement, it's clear that 2 of the 3 phones have burned out transistors. So, I will put:
$0 on 0,
$0 on 1,
$100 on 2,
$0 on 3. 
This is because Ben has already confirmed that 2 of the phones have burned out transistors, so it's certain that the number is 2.</t>
  </si>
  <si>
    <t>Response: Yes, Ben knows exactly how many of the 3 phones have burned out transistors. This is because he has looked at all 3 phones and has determined that 2 of them have burned out transistors.</t>
  </si>
  <si>
    <t>Based on the information provided, and taking into account that Corendula seeds almost always sprout within a day when put in water, I would suggest the following division:
$0 on 0 seeds sprouted, because Jim confirmed 1 seed has already sprouted.
$5 on 1 seed sprouted, as there is a small chance that the other two didn't sprout.
$20 on 2 seeds sprouted, allowing some possibility that one of the remaining two seeds didn't sprout.
$75 on 3 seeds sprouted, because it's most likely, given the high sprout rate, that all seeds have sprouted.</t>
  </si>
  <si>
    <t>Response: Based on the information given, it's unclear if Jim has examined all three seeds. He only stated that he has looked at one seed and it has sprouted. Therefore, we can't ascertain that Jim knows exactly how many of the 3 seeds have sprouted.</t>
  </si>
  <si>
    <t>Mark tells you on the phone: 'I have looked at 1 of the 3 exams. 1 of the exams has passing grades.'</t>
  </si>
  <si>
    <t>Based on the new information provided by Mark, we now know that at least 1 exam has a passing grade. Given the context that students in the introductory bio class almost always pass, it's still likely that the other two also have passing grades. However, there's now a small chance that the remaining exams may not have passing grades since we don't have confirmed information about them. 
Here's a proposed division of the $100, indicating the confidence on each number:
- 0 passing exams: $0
- 1 passing exam: $10
- 2 passing exams: $30
- 3 passing exams: $60
This division indicates a high confidence that all 3 exams will have passing grades, but it also</t>
  </si>
  <si>
    <t>Response: Based on Mark's statement that he has only looked at 1 of the 3 exams, it can be inferred that he does not know exactly how many of the 3 exams have passing grades, since he has not reviewed the other two.</t>
  </si>
  <si>
    <t>Based on the context, it can be inferred that all 3 letters Laura received today likely have checks inside.</t>
  </si>
  <si>
    <t>Based on Laura's statement, now we know for sure that 2 of the 3 letters have checks inside. So, I would divide the $100 as follows:
- $0 on 0
- $0 on 1
- $100 on 2
- $0 on 3</t>
  </si>
  <si>
    <t>Response: Yes, Laura knows exactly how many of the 3 letters have checks inside. She stated that she has looked at all 3 letters and found checks in 2 of them.</t>
  </si>
  <si>
    <t>Based on the context, it is highly likely that all 3 of the tickets Joe bought have won, since DoubleDay instant lottery tickets almost always win.</t>
  </si>
  <si>
    <t>Based on Joe's statement, we already know for sure that 2 out of the 3 tickets have won. However, since DoubleDay instant lottery tickets almost always win, there is a high probability that the third ticket, which Joe has not looked at yet, has also won. 
Hence, I would divide the $100 as follows:
0: $0 - We already know at least 2 tickets have won, so it's impossible for there to be 0 winners.
1: $0 - Same reason as above.
2: $10 - It's confirmed that at least 2 tickets have won, but given the high winning rate of DoubleDay tickets, it's less likely that only 2 have won.
3: $</t>
  </si>
  <si>
    <t>Response: No, Joe does not know exactly how many of the 3 tickets have won. He has only checked 2 of the 3 tickets he bought.</t>
  </si>
  <si>
    <t>90?</t>
  </si>
  <si>
    <t>Given the context that "Mongines are small fruits that almost always have dried out pith inside," it would be reasonable to assume that all 3 mondrine fruits that Monica bought have dried out pith.</t>
  </si>
  <si>
    <t>Based on Monica's statement, she has checked all 3 fruits and only 1 of them has dried out pith. So, I would distribute the $100 as follows:
$0 on 0 (because Monica said at least one has dried out pith)
$100 on 1 (because Monica said exactly one has dried out pith)
$0 on 2 (because Monica didn't mention any other with dried out pith)
$0 on 3 (because Monica didn't mention any other with dried out pith)</t>
  </si>
  <si>
    <t>Response: Yes, Monica knows exactly how many of the 3 fruits have dried out pith. She stated that she has looked at all 3 fruits and found that only 1 of them has dried out pith.</t>
  </si>
  <si>
    <t>Based on Ben's statement, it's confirmed that all 3 phones have burned out transistors. Therefore, I would divide the money as follows:
$0 on 0 phones
$0 on 1 phone
$0 on 2 phones
$100 on 3 phones</t>
  </si>
  <si>
    <t>Response: Yes, Ben knows exactly how many of the 3 phones have burned out transistors. He has confirmed that all 3 phones have burned out transistors.</t>
  </si>
  <si>
    <t>Based on Jim's statement, we know for sure that at least one of the seeds has sprouted, and it's likely that the third seed also would have sprouted given the context. However, since we do not have a definitive information about the third seed, there is a slight uncertainty. I would divide the $100 as follows:
$0 on 0 (we already know at least one seed has sprouted)
$5 on 1 (it's unlikely that only one seed has sprouted, but we can't completely rule it out)
$20 on 2 (it's possible that the third seed hasn't sprouted, but it's less likely given the context)
$75 on 3 (it's most likely that all</t>
  </si>
  <si>
    <t>Response: Based on the information given, it's unclear if Jim knows exactly how many of the 3 seeds have sprouted. He stated that he looked at 2 of the 3 seeds and found that 1 has sprouted, but he did not mention the state of the third seed.</t>
  </si>
  <si>
    <t>uncertain</t>
  </si>
  <si>
    <t>Based on the context, it's highly likely that all three of Mark's intro bio students have passing grades on the exam.</t>
  </si>
  <si>
    <t>Based on Mark's statement, at least one exam has a passing grade. Considering the context that students in this class almost always pass, it is reasonable to assume that the other two students have also likely passed. However, since we have definitive information only about one exam, I would distribute the money as follows:
$0 on 0 exams passing.
$10 on 1 exam passing.
$30 on 2 exams passing.
$60 on 3 exams passing.
This distribution reflects a high confidence in all three students passing, but with some consideration for the possibility that one or two might not.</t>
  </si>
  <si>
    <t>Response: Based on Mark's statement, it appears that he only knows the result of one exam. Therefore, it is likely that Mark does not know exactly how many of the 3 exams have passing grades.</t>
  </si>
  <si>
    <t>Based on the context, it's likely that all 3 letters have checks inside.</t>
  </si>
  <si>
    <t>Based on Laura's statement, it is now certain that all three letters have checks inside. Therefore, I would divide the money as follows: 
- $0 on option 0
- $0 on option 1
- $0 on option 2
- $100 on option 3</t>
  </si>
  <si>
    <t>Response: Yes, Laura knows exactly how many of the 3 letters have checks inside because she has confirmed that she has looked at all of them and found checks in each one.</t>
  </si>
  <si>
    <t>Based on the context, it's likely that all three of Joe's DoubleDay tickets have won since it's stated that tickets in this lottery "almost always win."</t>
  </si>
  <si>
    <t>Based on Joe's statement, it's clear that only one of the three tickets has won. Therefore, I would divide the $100 as follows:
0 tickets: $0
1 ticket: $100
2 tickets: $0
3 tickets: $0
This division indicates full confidence that one ticket has won, as stated by Joe.</t>
  </si>
  <si>
    <t>Response: Yes, Joe knows exactly how many of the 3 tickets have won, as he stated that he has looked at all 3 of the tickets and confirmed that only 1 of them has won.</t>
  </si>
  <si>
    <t>Based on the context provided, it can be inferred that all 3 mondrine fruits Monica bought might have dried out pith inside, as it's stated that mongines almost always have dried-out pith.</t>
  </si>
  <si>
    <t>Based on the new information provided by Monica, it can be inferred that at least 1 of the 3 fruits has dried out pith. However, since Monica has only inspected 2 of the 3 fruits, the condition of the third fruit remains uncertain. Moreover, considering the original context that mongines almost always have dried out pith, there's a high probability that the third fruit also has dried out pith. Therefore, I would divide the $100 as follows:
- $0 on 0 fruit: since we already know that at least 1 fruit has dried out pith.
- $10 on 1 fruit: considering that 1 out of the 2 fruits Monica has inspected has dried out pith, and there</t>
  </si>
  <si>
    <t>Response: Based on the information provided, Monica does not know exactly how many of the 3 fruits have dried out pith. She only inspected 2 of the 3 fruits and found that 1 of them has dried out pith. The condition of the third fruit remains unknown to Monica.</t>
  </si>
  <si>
    <t>Based on the context, it can be inferred that all 3 phones likely have burned out transistors, as it is stated that broken Sigo phones almost always have this issue.</t>
  </si>
  <si>
    <t>Based on Ben's statement, you can be confident that 2 of the 3 phones have burned out transistors. 
So, you could divide the money like this:
- $0 on 0
- $0 on 1
- $100 on 2
- $0 on 3
This is because Ben specifically stated that 2 of the phones have burned out transistors, so you can be quite sure about this information.</t>
  </si>
  <si>
    <t>Response: Yes, Ben knows exactly how many of the 3 phones have burned out transistors. He explicitly stated that he looked at all 3 phones and found that 2 of them have this issue.</t>
  </si>
  <si>
    <t>Based on the context that Corendula seeds almost always sprout within a day when put into water, it's highly probable that all 3 seeds that botanist Jim put into water two days ago have sprouted.</t>
  </si>
  <si>
    <t>Based on Jim's statement that he has looked at 2 of the 3 seeds and that both of these seeds have sprouted, it is reasonable to assume that at least 2 seeds have sprouted. Considering the fact that Corendula seeds almost always sprout within a day when put into water, and it has been two days, it's highly probable that the third seed has also sprouted. So, I would divide the $100 as follows:
- $0 on 0 seeds sprouted
- $0 on 1 seed sprouted
- $10 on 2 seeds sprouted
- $90 on 3 seeds sprouted 
This division shows high confidence that all 3 seeds have sprouted, but it leaves</t>
  </si>
  <si>
    <t>Response: Based on the information given, it's uncertain whether Jim knows exactly how many of the 3 seeds have sprouted. He has only reported on the 2 seeds he has checked, which suggests he may not have checked the third seed. Therefore, we cannot determine if he knows the status of all 3 seeds.</t>
  </si>
  <si>
    <t>Based on the context that students in the introductory bio class almost always have passing grades, it is likely that all 3 of Mark's students have passing grades on their exams.</t>
  </si>
  <si>
    <t>Based on Mark's statement, it is certain that 1 of the 3 exams has a passing grade. However, it is unclear whether the other 2 exams also have passing grades. So, I would divide the money as follows:
- $0 on 0 exams with passing grades 
- $100 on 1 exam with passing grades 
- $0 on 2 exams with passing grades 
- $0 on 3 exams with passing grades
This is because Mark's statement provides definite information about one exam having a passing grade, but does not provide any information about the other two exams. Hence, the safest bet is on 1 exam having a passing grade.</t>
  </si>
  <si>
    <t>Response: Based on Mark's statement, it appears that he does know exactly how many of the 3 exams have passing grades. He mentioned that he has looked at all 3 exams and specifically stated that 1 of the exams has passing grades. However, he didn't provide information on the grades of the other two exams.</t>
  </si>
  <si>
    <t>Based on Laura's statement, I would divide the $100 as follows:
- 0 checks: $0
- 1 check: $0
- 2 checks: $20
- 3 checks: $80
This distribution reflects the certainty that at least 2 checks are present, and the high likelihood based on previous patterns that the third letter also contains a check.</t>
  </si>
  <si>
    <t>Response: Based on Laura's statement, she does not know exactly how many of the 3 letters have checks inside because she has only looked at 2 of the 3 letters.</t>
  </si>
  <si>
    <t>Based on the context, it can be inferred that probably all 3 tickets that Joe bought have won, since tickets in the DoubleDay instant lottery almost always win.</t>
  </si>
  <si>
    <t>Based on the new information from Joe, we now know for sure that at least 1 ticket has won. Considering the high winning probability of DoubleDay tickets, it can be assumed that the third ticket, which has not been checked yet, is likely to be a winner too. However, there is also a possibility that the third ticket didn't win. Therefore, we could divide the $100 as follows:
$0 on 0 wins (since we know at least one has won),
$5 on 1 win (since one has already won and it's unlikely but possible that the other two didn't),
$35 on 2 wins (since one has won, one hasn't been checked, and perhaps one of the two checked didn't</t>
  </si>
  <si>
    <t>Response: No, Joe doesn't know exactly how many of the 3 tickets have won. He only checked 2 of the 3 tickets and only confirmed that 1 of them has won. The third ticket remains unverified.</t>
  </si>
  <si>
    <t>Based on the context provided, it's likely that all 3 mondrine fruits that Monica bought have dried out pith inside.</t>
  </si>
  <si>
    <t>Based on Monica's statement, we now know for sure that 2 out of 3 fruits have dried out pith. Regarding the third fruit, we don't have definitive information, but given the context that they "almost always" have dried out pith, it's reasonable to assume that the third fruit may also have it. However, since there's still a chance that it might not, we can't be 100% certain.
So, I would divide the $100 as follows:
- 0 fruits: $0
- 1 fruit: $0
- 2 fruits: $20
- 3 fruits: $80</t>
  </si>
  <si>
    <t>Response: Yes, Monica knows exactly how many of the 3 fruits have dried out pith. She has inspected all 3 fruits and confirmed that 2 of them have dried out pith.</t>
  </si>
  <si>
    <t>Based on Ben's statement, we know for certain that 1 of the phones has burned out transistors. Given the context that broken Sigo phones almost always have burned out transistors, it's highly likely that the other 2 also have this issue. So, I would bet as follows:
$0 on 0
$5 on 1
$25 on 2
$70 on 3
This betting indicates high confidence that all 3 phones have burned out transistors, while still acknowledging a possibility that only 1 or 2 might have this problem.</t>
  </si>
  <si>
    <t>Response: Based on Ben's statement, it seems that he only inspected one of the three phones and therefore, he does not know exactly how many of the 3 phones have burned out transistors.</t>
  </si>
  <si>
    <t>Given the information that Corendula seeds almost always sprout within a day when put into water, it is likely that all 3 seeds that botanist Jim put into water two days ago have sprouted.</t>
  </si>
  <si>
    <t>Given Jim's statement, I would bet $100 on option 3, as he has confirmed that all 3 seeds have sprouted.</t>
  </si>
  <si>
    <t>Response: Yes, Jim knows exactly how many of the 3 seeds have sprouted because he stated that he looked at all of them and confirmed that all 3 seeds have sprouted.</t>
  </si>
  <si>
    <t>Based on the new information, you should divide the $100 as follows: 
- $0 on 0 passing grades, because we know at least one exam has passing grades.
- $0 on 1 passing grade, because Mark has already graded two exams and one has a passing grade, and from the context we know that students in this class almost always pass.
- $40 on 2 passing grades, because there's a possibility that the ungraded exam doesn't have a passing grade.
- $60 on 3 passing grades, because given the historical context, it's more likely that the remaining exam also has a passing grade.</t>
  </si>
  <si>
    <t>Based on the context, it's highly likely that all 3 letters Laura received today have checks inside.</t>
  </si>
  <si>
    <t>Based on Laura's statement, 2 of the 3 letters have checks inside. Therefore, I would allocate my confidence as follows: 
$0 on 0, $0 on 1, $100 on 2, and $0 on 3.</t>
  </si>
  <si>
    <t>Response: Yes, Laura knows exactly how many of the 3 letters have checks inside, as she has looked at all of them.</t>
  </si>
  <si>
    <t>Based on the context that tickets in the DoubleDay instant lottery almost always win, it is highly probable that all three tickets that Joe bought have won.</t>
  </si>
  <si>
    <t>Based on Joe's statement, it is certain that 1 of the 3 tickets has won. Therefore, I would distribute the $100 as follows:
- $0 on option 0 (since at least one ticket has won)
- $100 on option 1 (since Joe confirmed this)
- $0 on option 2 (since Joe didn't mention a second winning ticket)
- $0 on option 3 (since Joe didn't mention a third winning ticket)</t>
  </si>
  <si>
    <t>Response: Yes, Joe knows exactly how many of the 3 tickets have won. He made this clear when he stated that he had looked at all 3 tickets and confirmed that 1 of them has won.</t>
  </si>
  <si>
    <t>Based on the context given, it would be safe to suggest that all 3 of the mondrine fruits Monica bought may have dried out pith inside.</t>
  </si>
  <si>
    <t>Based on Monica's statement, at least one fruit has dried out pith. Given that mongrines usually have dried pith, it is likely that the other fruits also have dried out pith. 
Here's how I would suggest dividing the $100:
- $0 on 0 fruits
- $10 on 1 fruit (Monica has confirmed at least one)
- $20 on 2 fruits 
- $70 on 3 fruits (as this seems most likely based on the context)</t>
  </si>
  <si>
    <t>Response: Based on the information given, it seems that Monica only checked one of the fruits, so she likely does not know exactly how many of the 3 fruits have dried out pith.</t>
  </si>
  <si>
    <t>Ben tells you on the phone: 'I have looked at 2 of the 3 phones. 2 of the phones have burned out transistors.'</t>
  </si>
  <si>
    <t>Based on the context, it can be inferred that all 3 broken Sigo phones Ben must repair likely have burned out transistors.</t>
  </si>
  <si>
    <t>Based on Ben's statement, it can be inferred that at least 2 of the 3 phones have burned out transistors. Given the context that "Broken Sigo phones almost always have burned out transistors", it is highly likely that the third phone also has a burned out transistor. Here's how I'd divide the $100:
- $0 on option 0. 
- $0 on option 1.
- $10 on option 2.
- $90 on option 3.</t>
  </si>
  <si>
    <t>Response: Based on Ben's statement that he has looked at 2 of the 3 phones and found burned out transistors in both, it can be inferred that he does not yet know if the third phone has a burned out transistor. Therefore, Ben does not know exactly how many of the 3 phones have burned out transistors.</t>
  </si>
  <si>
    <t>Given the context that Corendula seeds almost always sprout within a day when put into water, it's highly likely that all 3 seeds that Jim put into water two days ago have sprouted.</t>
  </si>
  <si>
    <t>Given Jim's confirmation, I would divide the $100 as follows: 
- $0 on 0 seeds sprouting
- $0 on 1 seed sprouting
- $0 on 2 seeds sprouting
- $100 on 3 seeds sprouting
Jim's statement confirms that all 3 seeds have sprouted, so there's no uncertainty left.</t>
  </si>
  <si>
    <t>Response: Yes, Jim knows exactly how many of the 3 seeds have sprouted. He confirmed this in his statement.</t>
  </si>
  <si>
    <t>Based on the context, it can be inferred that all three of Mark's intro bio students likely have passing grades on the exam.</t>
  </si>
  <si>
    <t>Based on the new information provided, we can be certain that at least 1 of Mark's students passed the exam. Given the previous context, it is still likely that the other two students also passed. Here's how I would divide the $100:
- $0 on 0 exams passing, because we know at least 1 exam has passing grades.
- $10 on 1 exam passing, because we know at least 1 exam has passing grades but it's less likely that this is the only one given the context.
- $30 on 2 exams passing, because there's a chance that one of the remaining two exams does not have passing grades.
- $60 on 3 exams passing, because the context suggests that students in</t>
  </si>
  <si>
    <t>Response: Based on Mark's statement, it seems that Mark does not know exactly how many of the 3 exams have passing grades. He has only looked at 1 of the exams so far.</t>
  </si>
  <si>
    <t>While it's not explicitly stated, based on the context that letters to Laura's company almost always have checks inside, it's reasonable to infer that all 3 letters Laura received today might have checks inside.</t>
  </si>
  <si>
    <t>Response: Given the new information that Laura has already looked at 2 of the 3 letters and 1 of them has checks inside, we can revise our inference. With the remaining letter yet to be opened, the possibilities are:
0 letters with checks: $0 (impossible according to Laura's statement)
1 letter with checks: $0 (impossible since 1 letter already has a check)
2 letters with checks: $50 (possible if the last letter doesn't contain a check)
3 letters with checks: $50 (possible if the last letter contains a check)
So, I would allocate the $100 as follows:
0 letters with checks: $0
1 letter with checks: $0
2 letters with checks:</t>
  </si>
  <si>
    <t>Response: Given that Laura has already opened 2 of the 3 letters and found checks in 1 of them, she does not yet know exactly how many of the 3 letters have checks inside. She will only know once she opens the remaining letter.</t>
  </si>
  <si>
    <t>50?</t>
  </si>
  <si>
    <t>Given the context that tickets in the DoubleDay instant lottery almost always win, it is very likely that all 3 of the tickets Joe bought have won.</t>
  </si>
  <si>
    <t>Given Joe's statement, I am almost certain that only one out of the three tickets has won. Therefore, I would allocate the $100 as follows:
- $0 on 0 tickets winning,
- $95 on 1 ticket winning,
- $5 on 2 tickets winning, 
- $0 on 3 tickets winning.
I have allocated a small amount to the possibility of 2 tickets winning to account for any potential misunderstanding or miscommunication, however, based on Joe's statement, it seems clear that only one ticket has won.</t>
  </si>
  <si>
    <t>Response: Yes, I believe Joe knows exactly how many of the 3 tickets have won. This belief is based on his statement that he has looked at all 3 tickets and confirmed that 1 of them has won.</t>
  </si>
  <si>
    <t>Based on the context, it can be inferred that all 3 mondrine fruits Monica bought likely have dried out pith inside since it's stated that mongines almost always have dried out pith.</t>
  </si>
  <si>
    <t>Based on Monica's statement, we know for sure that at least 2 of the 3 fruits have dried out pith. There is also a high probability that the third fruit also has dried out pith, given the initial context that mongines almost always have dried out pith. Therefore, I would distribute the amount as follows:
- $0 on 0 (We know for sure that at least 2 fruits have dried out pith.)
- $0 on 1 (We know for sure that at least 2 fruits have dried out pith.)
- $20 on 2 (There's a small chance that the third fruit might not have dried out pith, although it's unlikely.)
- $80 on 3 (</t>
  </si>
  <si>
    <t>Response: Based on Monica's statement, she has inspected 2 of the 3 fruits and confirmed that they have dried out pith. However, unless she has inspected the third fruit, she wouldn't know for sure. Therefore, it can be inferred that Monica does not know exactly how many of the 3 fruits have dried out pith.</t>
  </si>
  <si>
    <t>Based on the context provided, it can be inferred that all 3 broken Sigo phones Ben must repair likely have burned out transistors.</t>
  </si>
  <si>
    <t>Based on Ben's statement, he has confirmed that 2 of the 3 phones have burned out transistors. 
Here's how I would divide the $100:
- $0 on 0 (it's confirmed at least 2 phones have burned out transistors)
- $0 on 1 (it's confirmed at least 2 phones have burned out transistors)
- $90 on 2 (Ben confirmed this number, but there's still a chance that the last phone also has a burned out transistor)
- $10 on 3 (there's a smaller chance that the last phone also has a burned out transistor, but it's not impossible considering the context that broken Sigo phones almost always have burned out trans</t>
  </si>
  <si>
    <t>Response: Based on his statement, it seems that Ben has examined all 3 phones and knows that at least 2 of the phones have burned out transistors. However, it's unclear if he has definitively determined the status of the third phone. Therefore, it cannot be said with certainty that Ben knows exactly how many of the 3 phones have burned out transistors.</t>
  </si>
  <si>
    <t>I would divide the $100 as follows: 
0 seeds: $0
1 seed: $0
2 seeds: $0
3 seeds: $100
This is because Jim, the botanist, has confirmed that all 3 seeds have sprouted. Therefore, I am extremely confident that all 3 seeds have sprouted.</t>
  </si>
  <si>
    <t>Response: Yes, Jim knows exactly how many of the 3 seeds have sprouted because he has confirmed that he looked at all 3 seeds and all of them have sprouted.</t>
  </si>
  <si>
    <t>Based on the new information from Mark, we know for certain that 1 of the exams has a passing grade. Considering the initial context, it's still likely that the remaining two also have passing grades. However, we have no information about those two tests specifically, so we cannot be sure. Here's a possible distribution of the $100:
0 passing grades: $0
1 passing grade: $10
2 passing grades: $30
3 passing grades: $60
This distribution reflects high confidence in at least 1 exam having a passing grade, which we know for certain. The allocation for 2 and 3 passing grades reflects the initial context that students in the introductory bio class almost always have passing grades. However, the allocation</t>
  </si>
  <si>
    <t>Response: Based on Mark's statement, it appears that he only knows the result of 1 exam out of the 3. So, no, Mark likely does not know exactly how many of the 3 exams have passing grades at this time.</t>
  </si>
  <si>
    <t>Based on Laura's statement, we can be fairly certain that 1 letter contains a check. Since she has already examined 2 letters and found only 1 check, there is a possibility that the third letter also contains a check, given the context that letters to Laura's company usually have checks. However, there is also a possibility that it does not. Hence, my confidence distribution would be:
- $0 on 0 checks (since we already know that at least one check is present)
- $10 on 1 check (since we already have one but it's less likely that no more checks are present)
- $45 on 2 checks (considering that one of the already opened letters has a check and the remaining unopened</t>
  </si>
  <si>
    <t>Response: No, Laura does not know exactly how many of the 3 letters have checks inside. She has only opened 2 of the 3 letters and therefore cannot be certain about the contents of the third.</t>
  </si>
  <si>
    <t>Based on the context that DoubleDay instant lottery tickets almost always win, it can be inferred that probably all 3 tickets that Joe bought have won.</t>
  </si>
  <si>
    <t>Based on the speaker's statement that Joe has looked at all 3 tickets and all 3 have won, your confidence should be extremely high that all 3 tickets won. 
So you could distribute the money as follows:
$0 on 0 winning tickets, 
$0 on 1 winning ticket,
$0 on 2 winning tickets,
$100 on 3 winning tickets.</t>
  </si>
  <si>
    <t>Response: Yes, Joe knows exactly how many of the 3 tickets have won. This is because he stated that he had looked at all 3 of the tickets and all 3 have won.</t>
  </si>
  <si>
    <t>Based on the context provided, it can be inferred that all 3 mondrine fruits Monica bought might have dried out pith inside, as it is stated that Mongines almost always have dried out pith inside.</t>
  </si>
  <si>
    <t>Based on Monica's statement, we know for certain that 2 of the 3 fruits have dried out pith. It's unclear about the third fruit, but given the context that Mongines almost always have dried out pith, there is a high probability that the third fruit also has dried out pith. Hence, I would divide the money as follows: 
- $0 on 0 fruits
- $0 on 1 fruit
- $20 on 2 fruits
- $80 on 3 fruits</t>
  </si>
  <si>
    <t>Response: Yes, Monica knows exactly how many of the 3 fruits have dried out pith. She stated that she has looked at all 3 fruits and confirmed that 2 of them have dried out pith.</t>
  </si>
  <si>
    <t>Based on the context, it's highly likely that all 3 broken Sigo phones have burned out transistors.</t>
  </si>
  <si>
    <t>Based on Ben's statement, $0 on option 0, $0 on option 2, $0 on option 3, and $100 on option 1. This is because Ben has confirmed that only one of the phones has burned out transistors.</t>
  </si>
  <si>
    <t>Response: Yes, Ben knows exactly how many of the 3 phones have burned out transistors because he has inspected all of them and confirmed that only one of the phones has this issue.</t>
  </si>
  <si>
    <t>Based on Jim's statement, I would divide the $100 as follows:
$0 on 0 seeds sprouting,
$0 on 1 seed sprouting,
$10 on 2 seeds sprouting,
$90 on 3 seeds sprouting.
The reasoning behind this is that Jim confirmed two of the seeds have sprouted. Given the high sprouting rate of Corendula seeds, it's highly likely that the third seed has also sprouted, hence the higher bet on 3 seeds sprouting. However, there is a slight chance that the third seed did not sprout, hence the small bet on 2 seeds sprouting. There's no reason to believe that any seeds that have already sprouted would revert, so no money</t>
  </si>
  <si>
    <t>Response: Based on Jim's statement, it is likely that Jim does not know exactly how many of the 3 seeds have sprouted because he only checked 2 of the seeds.</t>
  </si>
  <si>
    <t>Given the new information, it is highly probable that at least 2 of the exams have passing grades since Mark has confirmed this. There's a chance that the third exam also has a passing grade, considering the context that students in the introductory bio class almost always pass. Here is a possible division of the $100 based on these probabilities:
- $0 on 0 exams passing (since we know at least 2 passed)
- $0 on 1 exam passing (since we know at least 2 passed)
- $20 on 2 exams passing (as a small possibility that the third failed)
- $80 on 3 exams passing (as the high probability based on the context)</t>
  </si>
  <si>
    <t>Response: No, Mark does not know exactly how many of the 3 exams have passing grades. He has only looked at 2 of the 3 exams, so he can't definitively know the outcome of the third exam until he has reviewed it.</t>
  </si>
  <si>
    <t>Based on the context, it can be inferred that all three letters Laura received today might have checks inside.</t>
  </si>
  <si>
    <t>Based on Laura's statement, we can infer that at least one of the three letters has checks inside. As for the third letter, based on the initial context, it is very likely that it also contains a check. However, there's still a possibility, albeit small, that it might not. 
Hence, my confidence would be divided as follows:
- $0 on 0 letters (since at least one letter has a check)
- $0 on 1 letter (since Laura has already found a check in one and there's still one letter unopened)
- $20 on 2 letters (as a small possibility if the last letter doesn't contain a check)
- $80 on 3 letters (as the most probable option</t>
  </si>
  <si>
    <t>Response: No, Laura does not know exactly how many of the 3 letters have checks inside. She has only opened 2 of the 3 letters and found checks in one of them. The third letter remains unopened, so its contents are not yet known to her.</t>
  </si>
  <si>
    <t>Based on the context, it is highly likely that all three of Joe's DoubleDay lottery tickets have won.</t>
  </si>
  <si>
    <t>Based on Joe's statement, we know that 2 of the 3 tickets have won. Therefore, I would distribute the $100 as follows: 
- $0 on 0 
- $0 on 1 
- $100 on 2 
- $0 on 3 
This reflects full confidence that 2 of the tickets have won, as per Joe's statement.</t>
  </si>
  <si>
    <t>Response: Yes, Joe knows exactly how many of the 3 tickets have won, as he stated that he looked at all of them and confirmed that 2 of the tickets have won.</t>
  </si>
  <si>
    <t>Based on the context, it's likely that all 3 mondrine fruits Monica bought have dried out pith inside, since it's stated that mongines almost always have dried out pith.</t>
  </si>
  <si>
    <t>Based on the new information provided by Monica, we now know for sure that at least one of the fruits has dried out pith. However, since Monica has only inspected one fruit so far, and we know that mongines almost always have dried out pith, it's still quite likely that the other two fruits also have dried out pith. Therefore, my confidence distribution would be:
$0 on 0,
$5 on 1,
$15 on 2,
$80 on 3.</t>
  </si>
  <si>
    <t>Response: Based on the information given, it seems that Monica does not know exactly how many of the 3 fruits have dried out pith. She has only looked at 1 of the 3 fruits so far. Therefore, my answer is no, Monica does not know exactly how many of the 3 fruits have dried out pith.</t>
  </si>
  <si>
    <t>Based on Ben's statement, we can be confident that 1 out of the 3 phones has burned out transistors. So, I would bet the following way:
$0 on 0
$90 on 1
$10 on 2
$0 on 3
The reason for putting a small amount on 2 is because Ben might have misdiagnosed one of the phones or there could be a chance that another phone's transistors burn out. However, it is less likely so the amount is smaller. I put $0 on 0 and 3 because Ben confirmed that 1 phone has burned out transistors and it's highly unlikely that all 3 phones have the same issue given the new</t>
  </si>
  <si>
    <t>Response: Yes, I believe Ben knows exactly how many of the 3 phones have burned out transistors. He has inspected all 3 phones and has identified that 1 of them has burned out transistors. His statement suggests that he has the relevant skills and knowledge to accurately diagnose this issue.</t>
  </si>
  <si>
    <t>Based on the speaker's statement, it is clear that all 3 seeds have sprouted. 
Therefore, I would divide the $100 as follows:
0 seeds sprouted: $0
1 seed sprouted: $0
2 seeds sprouted: $0
3 seeds sprouted: $100
This allocation shows complete confidence that all 3 seeds have sprouted, as per the statement from Jim.</t>
  </si>
  <si>
    <t>Response: Yes, Jim knows exactly how many of the 3 seeds have sprouted. This conclusion is based on his statement where he mentions that he has looked at all of the 3 seeds and that all have sprouted.</t>
  </si>
  <si>
    <t>Based on the context, it is likely that all 3 of Mark's intro bio students have passing grades on their exam.</t>
  </si>
  <si>
    <t>Based on the speaker's statement, we can confidently say that at least 2 of the exams have passing grades. However, considering the context which mentions that students in the introductory bio class almost always have passing grades, it is likely that the third exam also has a passing grade. But since we don't have confirmation for the third exam, we can't be 100% sure. Here's a suggested division of the $100:
0: $0
1: $0
2: $20
3: $80</t>
  </si>
  <si>
    <t>Response: Based on the speaker's statement, Mark does not know exactly how many of the 3 exams have passing grades. He has only looked at 2 of the 3 exams.</t>
  </si>
  <si>
    <t>Given the new information, we know that at least one letter contains checks. However, we also know that letters to Laura's company almost always have checks inside. Therefore, the remaining two letters are also likely to contain checks. 
Here's how I would divide $100 based on confidence:
0 checks: $0
1 check: $10
2 checks: $30
3 checks: $60</t>
  </si>
  <si>
    <t>Response: Based on Laura's statement, we know that she has only looked at one of the three letters, which did contain a check. Therefore, Laura does not know exactly how many of the three letters have checks inside, as the contents of the remaining two letters are unknown to her.</t>
  </si>
  <si>
    <t>Based on the context, it is highly likely that all 3 of the tickets Joe bought have won.</t>
  </si>
  <si>
    <t>Based on Joe's statement, it's clear that all 3 of his tickets have won. Therefore, I would divide the money as follows:
$0 on 0 tickets winning
$0 on 1 ticket winning
$0 on 2 tickets winning
$100 on 3 tickets winning</t>
  </si>
  <si>
    <t>Response: Yes, Joe knows exactly how many of the 3 tickets have won, as he stated that all 3 of the tickets he checked have won.</t>
  </si>
  <si>
    <t>Based on the context, it can be inferred that all 3 mondrine fruits that Monica bought might have dried out pith inside as it is stated that Mongines almost always have dried out pith.</t>
  </si>
  <si>
    <t>Based on the new information Monica provided, we now know for sure that at least one of the fruits has dried out pith. The third fruit remains unknown. Given that mongines almost always have dried out pith, it can be inferred that there is a high probability that the third fruit also has dried out pith. However, it is not a certainty. 
Therefore, I would divide the $100 as follows:
$0 on 0 (since we know at least one fruit has dried out pith)
$10 on 1 (since there is a slight possibility that the third fruit doesn't have dried out pith)
$30 on 2 (since we know at least one fruit has dried out pith and there is a</t>
  </si>
  <si>
    <t>Response: Based on the information provided, Monica does not know exactly how many of the 3 fruits have dried out pith. She has only checked 2 out of the 3 fruits, and therefore, she is not certain about the state of the third fruit.</t>
  </si>
  <si>
    <t>Given the context, it is very likely that all 3 broken Sigo phones Ben needs to repair have burned out transistors.</t>
  </si>
  <si>
    <t>Given the speaker's statement, I would divide the $100 as follows:
- $0 on 0
- $0 on 1
- $100 on 2
- $0 on 3
This is because Ben has already confirmed that 2 of the phones have burned out transistors.</t>
  </si>
  <si>
    <t>Response: Yes, Ben knows exactly how many of the 3 phones have burned out transistors. He has checked all of them and confirmed that 2 of the phones have this issue.</t>
  </si>
  <si>
    <t>Jim tells you on the phone: 'I have looked at 3 of the 3 seeds. 1 of the seeds has sprouted.'</t>
  </si>
  <si>
    <t>Based on the context, it's highly likely that all 3 Corendula seeds have sprouted since they almost always sprout within a day when put into water.</t>
  </si>
  <si>
    <t>Based on Jim's statement, 1 seed has definitely sprouted. Therefore, I would divide the $100 as follows: 
$0 on 0 (since at least one seed has sprouted), 
$100 on 1 (since Jim confirmed this), 
$0 on 2 (since Jim did not mention a second seed sprouting), 
$0 on 3 (since Jim did not mention all seeds sprouting).</t>
  </si>
  <si>
    <t>Response: Yes, Jim knows exactly how many of the 3 seeds have sprouted because he stated that he has looked at all 3 seeds.</t>
  </si>
  <si>
    <t>Based on the context provided, it can be inferred that all three of Mark's intro bio students likely have passing grades on the exam.</t>
  </si>
  <si>
    <t>Given Mark's statement that all 3 of the exams have passing grades, the distribution would be as follows:
$0 on 0 passing grades
$0 on 1 passing grade
$0 on 2 passing grades
$100 on 3 passing grades
This represents complete confidence that all 3 exams have passing grades.</t>
  </si>
  <si>
    <t>Response: Yes, Mark knows exactly how many of the 3 exams have passing grades because he stated that he has looked at all of the exams and confirmed that all 3 have passing grades.</t>
  </si>
  <si>
    <t>Based on Laura's statement, we now know for certain that at least one letter contains a check. However, since most letters to Laura's company contain checks, it is still likely that the remaining two letters contain checks as well. Therefore, I would divide the $100 as follows:
$0 on 0 checks, because we already know that at least one letter contains a check.
$10 on 1 check, because Laura has already confirmed one check, but it's less likely that this is the only one.
$40 on 2 checks, because it's possible that one of the remaining letters does not contain a check.
$50 on 3 checks, because the majority of letters Laura receives contain checks, so it's more likely that</t>
  </si>
  <si>
    <t>Response: Based on Laura's statement, it appears that she has only opened one of the three letters so far. Therefore, it's unlikely that she knows exactly how many of the three letters have checks inside. Until she opens the remaining two letters, she can't know for sure.</t>
  </si>
  <si>
    <t>Based on the context, it can be inferred that probably all 3 tickets that Joe bought have won since tickets in the DoubleDay instant lottery almost always win.</t>
  </si>
  <si>
    <t>Given the new information, there's now a confirmed win of 1 ticket and 1 ticket that hasn't won, with one ticket left unchecked. Considering the high likelihood of winning in the DoubleDay lottery, I would distribute the $100 as follows:
- $0 on 0 wins, because we know at least 1 ticket has won.
- $0 on 1 win, because there's still one ticket unverified with a high chance of winning.
- $40 on 2 wins, considering there's a good chance the last ticket has won given the odds of the lottery.
- $60 on 3 wins, although less likely now, there's still a chance that Joe might have made a mistake while checking the tickets.</t>
  </si>
  <si>
    <t>Response: Based on the information provided, it seems that Joe does not yet know exactly how many of the 3 tickets have won, as he has only checked 2 of them.</t>
  </si>
  <si>
    <t>Based on the context provided, it can be inferred that all 3 mondrine fruits Monica bought likely have dried out pith inside, as it's stated that mongines almost always have dried out pith inside.</t>
  </si>
  <si>
    <t>Based on Monica's statement, we know that 2 out of the 3 fruits have dried out pith. Considering the context that mongines almost always have dried out pith, it is highly likely that the third fruit also has dried out pith. However, since there is a small possibility that it might not, my bets would be divided as follows:
$0 on 0 fruits, 
$0 on 1 fruit, 
$10 on 2 fruits (to account for the slight chance the third fruit does not have dried out pith), 
$90 on 3 fruits (reflecting a high confidence that all fruits have dried out pith).</t>
  </si>
  <si>
    <t>Response: Based on Monica's statement, Monica does not know exactly how many of the 3 fruits have dried out pith. She has only examined 2 of the 3 fruits. Until she examines the third fruit, she cannot know for certain whether it has dried out pith.</t>
  </si>
  <si>
    <t>Based on the context provided, it can be inferred that all 3 of the broken Sigo phones likely have burned out transistors.</t>
  </si>
  <si>
    <t>Based on Ben's statement, it can be inferred that 2 of the 3 phones have burned out transistors. 
Dividing $100 among options 0, 1, 2, 3, the betting to indicate your confidence on each number would be: 
- $0 on 0
- $0 on 1
- $100 on 2
- $0 on 3</t>
  </si>
  <si>
    <t>Response: Yes, based on his statement, it appears that Ben knows exactly how many of the 3 phones have burned out transistors.</t>
  </si>
  <si>
    <t>Given Jim's statement, it's certain that 1 of the seeds has sprouted. It's unlikely the count is 0, 2, or 3. Therefore, I would bet:
- $0 on 0 seeds sprouted
- $100 on 1 seed sprouted
- $0 on 2 seeds sprouted
- $0 on 3 seeds sprouted</t>
  </si>
  <si>
    <t>Response: Yes, Jim knows exactly how many of the 3 seeds have sprouted because he stated that he looked at all 3 seeds and confirmed that 1 of them has sprouted.</t>
  </si>
  <si>
    <t>Based on the context that students in the introductory bio class almost always have passing grades on the exam, it can be inferred that likely all 3 of Mark's intro bio students have passing grades on their exam.</t>
  </si>
  <si>
    <t>Based on Mark's statement, we already know that 2 of the exams have passing grades. The third exam is still uncertain, but given the context that students in the introductory bio class almost always pass, it is likely that the third exam also has a passing grade. So, I would distribute the $100 as follows:
$0 on 0 exams passing
$0 on 1 exam passing
$10 on 2 exams passing
$90 on 3 exams passing
This distribution reflects high confidence that all three exams have passing grades, while still acknowledging a small possibility that only two exams passed.</t>
  </si>
  <si>
    <t>Response: No, Mark does not know exactly how many of the 3 exams have passing grades because he mentioned that he has only looked at 2 of the 3 exams.</t>
  </si>
  <si>
    <t>Based on Laura's statement, I would distribute the $100 as follows: 
$0 on 0 checks,
$0 on 1 check,
$100 on 2 checks,
$0 on 3 checks. 
This is because Laura explicitly stated that 2 of the 3 letters have checks inside, so we can be confident that the number is 2.</t>
  </si>
  <si>
    <t>Based on the context, it can be inferred that probably all three of Joe's DoubleDay tickets have won, since tickets in this lottery almost always win.</t>
  </si>
  <si>
    <t>Based on the new information provided by Joe, we can infer that at least one of the tickets has won. As for the remaining one ticket that Joe hasn't checked, we can predict based on the context that it probably has won, as tickets in the DoubleDay lottery almost always win. However, there is still a chance that it might not have won. Therefore, I would divide the $100 as follows:
$0 on 0 tickets winning, because we already know that at least one ticket has won.
$0 on 1 ticket winning, because we already know that at least one ticket has won and Joe still has one unopened ticket.
$30 on 2 tickets winning, acknowledging the small chance that the last ticket might not win</t>
  </si>
  <si>
    <t>Based on the context, it can be inferred that all three mondrine fruits that Monica bought might have dried out pith inside, as it is stated that mongines "almost always" have dried out pith. However, without exact details, it's impossible to confirm with certainty.</t>
  </si>
  <si>
    <t>Based on Monica's statement, we know that 1 of the 3 fruits has dried out pith. So, I would divide the $100 as follows:
- $0 on 0 fruits (because we know at least 1 fruit has dried out pith)
- $100 on 1 fruit (because this is the number Monica specifically told us has dried out pith)
- $0 on 2 fruits (because Monica said she checked all 3 fruits and only 1 has dried out pith)
- $0 on 3 fruits (because this contradicts what Monica said).</t>
  </si>
  <si>
    <t>Response: Yes, Monica knows exactly how many of the 3 fruits have dried out pith. She has examined all three fruits and confirmed that only one of them has dried out pith.</t>
  </si>
  <si>
    <t>While the context suggests that broken Sigo phones almost always have burned out transistors, it does not provide a specific ratio or percentage. Therefore, it is highly likely that all 3 phones that Ben needs to repair have burned out transistors, but it's not guaranteed.</t>
  </si>
  <si>
    <t>Response: Given Ben's statement, it seems certain that all 3 phones have burned out transistors. So, I would divide the $100 as follows: 0 - $0, 1 - $0, 2 - $0, 3 - $100. This distribution indicates my full confidence that all 3 phones have burned out transistors.</t>
  </si>
  <si>
    <t>Response: Yes, Ben knows exactly how many of the 3 phones have burned out transistors. He has stated that he has looked at all three phones and found that all three have burned out transistors.</t>
  </si>
  <si>
    <t>Given the context that Corendula seeds almost always sprout within a day when put into water, it's reasonable to predict that all 3 seeds that botanist Jim put into water two days ago have sprouted.</t>
  </si>
  <si>
    <t>Given the new information, we can be certain that at least one of the seeds has sprouted. The other two seeds are likely to have sprouted given the information we know about Corendula seeds. Here's how I would divide the $100:
- $0 on 0 seeds sprouted, because we know at least one has sprouted.
- $10 on 1 seed sprouted, because it's possible, but unlikely, that the other two didn't sprout.
- $20 on 2 seeds sprouted, because there's a chance one of the seeds didn't sprout.
- $70 on 3 seeds sprouted, because we know that Corendula seeds almost always sprout within a day when put into</t>
  </si>
  <si>
    <t>Response: Based on the information provided, it's unclear whether Jim knows exactly how many of the 3 seeds have sprouted. He has only mentioned observing one seed. Until he checks the other two seeds, we cannot say for certain that he knows how many have sprouted.</t>
  </si>
  <si>
    <t>Response: I would bet $100 on the option of 3 exams having passing grades. This is because Mark, who is presumably the professor, has directly stated that all 3 of the exams have passing grades.</t>
  </si>
  <si>
    <t>Response: Yes, Mark knows exactly how many of the 3 exams have passing grades because he stated that he has looked at all 3 exams and confirmed that all have passing grades.</t>
  </si>
  <si>
    <t>Based on Laura's statement, we can now be confident that 2 of the 3 letters have checks inside. Therefore, I would divide the $100 as follows:
0 checks: $0
1 check: $0
2 checks: $100
3 checks: $0
This distribution shows that I am completely confident that 2 letters have checks inside, and have no belief that any other number of letters contain checks.</t>
  </si>
  <si>
    <t>Based on the context, it's highly likely that all three of Joe's DoubleDay tickets have won.</t>
  </si>
  <si>
    <t>Based on the context and Joe's statement, I would divide the $100 as follows: 
- $0 on 0 (Joe has already confirmed that 1 ticket has won, so it's impossible for 0 tickets to win)
- $10 on 1 (Joe confirmed that 1 ticket has won. However, given that tickets in the DoubleDay instant lottery almost always win, it's less likely that only 1 ticket won)
- $30 on 2 (There's a good chance that at least 2 tickets won. However, since Joe has only checked 1 ticket so far, it's a bit of a gamble)
- $60 on 3 (Given the context, it's most likely that all 3</t>
  </si>
  <si>
    <t>Response: Based on Joe's statement, it seems that he only knows the result of 1 ticket so far. Therefore, it's likely that Joe does not know exactly how many of the 3 tickets have won.</t>
  </si>
  <si>
    <t>Based on the context provided, it's highly probable that all 3 mondrine fruits that Monica bought have dried out pith inside.</t>
  </si>
  <si>
    <t>Based on Monica's statement, I would divide the money as follows:
$0 on 0 - Since Monica already found 1 fruit with dried out pith, it's impossible for there to be 0 fruits with dried out pith.
$10 on 1 - Monica already found 1 fruit with dried out pith. However, the chance of only 1 fruit having dried out pith is low since most of these fruits have dried out pith.
$45 on 2 - Since Monica has already checked 2 fruits and only 1 had dried out pith, this would imply she might find the same result with the last fruit, but it's not certain.
$45 on 3 - Given that most of these fruits</t>
  </si>
  <si>
    <t>Response: Based on the information provided, Monica does not know exactly how many of the 3 fruits have dried out pith, as she has only checked 2 of the 3 fruits.</t>
  </si>
  <si>
    <t>While the context suggests that broken Sigo phones "almost always" have burned out transistors, it doesn't guarantee that every broken phone will have this issue. So, it's highly likely that all 3 phones have burned out transistors, but without further information, we can't say for certain.</t>
  </si>
  <si>
    <t>Given Ben's statement, it's confirmed that at least 2 out of the 3 phones have burned out transistors. However, based on the context that broken Sigo phones almost always have burned out transistors, there's a high likelihood that the third phone also has a burned out transistor. 
So, I would divide the $100 as follows:
- $0 on 0 (since we have confirmation that at least 2 phones have this issue)
- $0 on 1 (for the same reason)
- $20 on 2 (accounting for the small chance that the 3rd phone doesn't have a burned out transistor)
- $80 on 3 (reflecting the high likelihood, based on the</t>
  </si>
  <si>
    <t>Response: Based on the information provided, it's likely that Ben does not yet know exactly how many of the 3 phones have burned out transistors. He has only inspected 2 of the 3 phones so far. Therefore, until he inspects the third phone, he cannot know for certain whether it also has a burned out transistor.</t>
  </si>
  <si>
    <t>Based on Jim's statement, we know that 1 seed has sprouted.
Therefore, I would divide the $100 as follows:
$0 on 0,
$100 on 1,
$0 on 2,
$0 on 3.</t>
  </si>
  <si>
    <t>Response: Yes, Jim knows exactly how many of the 3 seeds have sprouted because he stated that he has looked at all 3 seeds and confirmed that 1 of them has sprouted.</t>
  </si>
  <si>
    <t>Based on the context, it is likely that all 3 of Mark's intro bio students have passing grades on their exams.</t>
  </si>
  <si>
    <t>Given that Mark has confirmed that 1 of the 3 exams has a passing grade, we can assume with 100% confidence that at least 1 exam has a passing grade. However, based on the initial context that students in this class typically pass, it's likely that the other exams also have passing grades.
Here is how you might divide the $100:
- $0 on 0 exams passing, because we know that at least 1 exam has a passing grade.
- $0 on 1 exam passing, because although we know one exam has passed, it's likely, based on the context, that more have passed.
- $40 on 2 exams passing, because it's possible that one of Mark's students didn't</t>
  </si>
  <si>
    <t>Response: Based on Mark's statement that he has only looked at 1 of the 3 exams, it can be concluded that Mark does not know exactly how many of the 3 exams have passing grades. He can only confirm the result of the exam he has reviewed.</t>
  </si>
  <si>
    <t>40?</t>
  </si>
  <si>
    <t>Based on Laura's statement, at least 2 of the 3 letters contain checks. The third letter is yet to be confirmed. Given the information that letters to Laura's company almost always have checks inside, it's quite likely that the third one also has a check. Here's how I would divide the $100:
- $0 on 0 letters containing checks. Laura already confirmed that at least 2 letters have checks.
- $0 on 1 letter containing checks. Again, Laura confirmed that at least 2 letters have checks.
- $20 on 2 letters containing checks. There's a small chance that the third letter doesn't contain a check.
- $80 on 3 letters containing checks. Given the history of letters</t>
  </si>
  <si>
    <t>Response: No, Laura does not know exactly how many of the 3 letters have checks inside. She has only checked 2 of the 3 letters so far.</t>
  </si>
  <si>
    <t>Based on the context that DoubleDay instant lottery tickets almost always win, it is highly probable that all three tickets that Joe bought have won.</t>
  </si>
  <si>
    <t>Based on Joe's statement, he has confirmed that 2 of the 3 tickets have won.
Therefore, the confidence division of $100 would be:
- Option 0: $0
- Option 1: $0
- Option 2: $100
- Option 3: $0</t>
  </si>
  <si>
    <t>Response: Yes, Joe knows exactly how many of the 3 tickets have won, as he reported that he had looked at all 3 tickets and confirmed that 2 of them had won.</t>
  </si>
  <si>
    <t>Based on the context, it can be inferred that all 3 mondrine fruits that Monica bought might have dried out pith inside, since it is stated that mongines almost always have dried out pith inside.</t>
  </si>
  <si>
    <t>Based on Monica's statement, we now know that 1 fruit definitely has dried out pith. For the remaining two, we can only make an educated guess based on the fact that mongines almost always have dried out pith. 
Here's how I would divide the $100:
- $0 on 0 fruits, because we know at least 1 fruit has dried out pith.
- $60 on 1 fruit, because this is the number Monica confirmed.
- $30 on 2 fruits, as it's possible another one of the fruits has dried out pith.
- $10 on 3 fruits, as it's less likely but still possible since mongines almost always have dried out pith.</t>
  </si>
  <si>
    <t>Response: Yes, Monica knows exactly how many of the 3 fruits have dried out pith since she has looked at all 3 fruits.</t>
  </si>
  <si>
    <t>Based on Ben's statement, we know for certain that at least one of the phones has burned out transistors. We also know that the third phone has not yet been checked. Given the initial statement about 'almost always' having burned out transistors, it's highly likely that the third phone will also have burned out transistors. So, the best estimate would be that 2 phones will have burned out transistors. However, there is some uncertainty, so it may be wise to distribute the confidence across 1, 2, and 3. 
Here is a possible distribution:
$0 on 0 (0% confidence)
$10 on 1 (10% confidence)
$70 on 2 (70</t>
  </si>
  <si>
    <t>Response: No, Ben does not know exactly how many of the 3 phones have burned out transistors, because he has only checked 2 of the 3 phones so far.</t>
  </si>
  <si>
    <t>20?</t>
  </si>
  <si>
    <t>Based on the context provided, it's highly likely that all 3 Corendula seeds have sprouted, as they almost always sprout within a day when put into water.</t>
  </si>
  <si>
    <t>Based on Jim's statement, it's certain that all 3 seeds have sprouted. So I would divide the money as follows: $0 on 0, $0 on 1, $0 on 2, and $100 on 3. This shows my complete confidence that all 3 seeds have sprouted.</t>
  </si>
  <si>
    <t>Response: Yes, Jim definitely knows exactly how many of the 3 seeds have sprouted, as he stated he looked at all 3 seeds and confirmed that all of them have sprouted.</t>
  </si>
  <si>
    <t>Based on the context, it can be inferred that all three of Mark's intro bio students likely have passing grades on their exams.</t>
  </si>
  <si>
    <t>Based on Mark's statement, at least two of the exams have passing grades. However, given the context that students in the introductory bio class almost always pass, it is likely that the third exam also has a passing grade. Still, there is a small chance that the third exam may not have a passing grade. 
So, the division of the $100 could be as follows: 
0 passing grades: $0
1 passing grade: $0
2 passing grades: $10
3 passing grades: $90
This division indicates a high confidence that all three exams have passing grades, but acknowledges a small possibility that only two exams may have passing grades.</t>
  </si>
  <si>
    <t>Response: Based on Mark's statement, it can be inferred that he does not yet know exactly how many of the three exams have passing grades. He has only looked at two of the exams, both of which have passing grades. Until he looks at the third exam, he will not know for certain how many exams have passing grades.</t>
  </si>
  <si>
    <t>Based on Laura's statement, it's certain that at least one letter has a check inside. As for the third letter, given the pattern that letters to Laura's company almost always have checks inside, it's very likely this one does as well. However, there's a small chance it might not. Therefore, I would divide the $100 as follows:
- $0 on 0 (since at least one letter has a check)
- $10 on 1 (a low chance that only one letter has a check)
- $40 on 2 (a good chance that two letters have checks)
- $50 on 3 (the highest likelihood is that all letters have checks, based on the usual pattern)</t>
  </si>
  <si>
    <t>Response: No, Laura does not know exactly how many of the 3 letters have checks inside because she stated that she has only looked at 2 of the 3 letters.</t>
  </si>
  <si>
    <t>Based on the context, it is highly likely that all 3 tickets that Joe bought have won since it's stated that tickets in the DoubleDay instant lottery almost always win.</t>
  </si>
  <si>
    <t>Based on Joe's statement, it is clear that only 1 of the 3 tickets has won. So, I would divide the $100 as follows: 
- 0 winning tickets: $0
- 1 winning ticket: $100
- 2 winning tickets: $0
- 3 winning tickets: $0
This distribution reflects full confidence in Joe's statement that only 1 of the tickets he bought has won.</t>
  </si>
  <si>
    <t>Response: Yes, based on his statement, Joe knows exactly how many of the 3 tickets have won. He has stated that he has looked at all 3 tickets and only 1 of them has won.</t>
  </si>
  <si>
    <t>Based on the context provided, it can be inferred that all 3 mondrine fruits Monica bought may have dried out pith inside, as it is stated that Mongines, which are presumably the same as or similar to mondrines, almost always have dried out pith inside.</t>
  </si>
  <si>
    <t>Based on Monica's statement that she has looked at all 3 fruits and all have dried out pith, I would divide the $100 as follows:
$0 on 0 fruits,
$0 on 1 fruit,
$0 on 2 fruits,
$100 on 3 fruits.
This distribution shows total confidence that all 3 fruits have dried out pith, based on Monica's direct observation and statement.</t>
  </si>
  <si>
    <t>Response: Yes, Monica knows exactly how many of the 3 fruits have dried out pith. She has looked at all of them and confirmed that all 3 fruits have dried out pith.</t>
  </si>
  <si>
    <t>Based on the context, it can be inferred that likely all 3 of the broken Sigo phones that Ben must repair have burned out transistors. However, without specific information, it is not possible to state with certainty.</t>
  </si>
  <si>
    <t>Based on the speaker's statement, we know for certain that at least 1 of the phones has burned out transistors. Given the context that broken Sigo phones almost always have burned out transistors, it is highly likely that the remaining 2 phones also have this issue. However, there is still a possibility that they might not. Therefore, I would distribute the $100 as follows to indicate my confidence:
$0 on 0 (since we know at least 1 phone has burned out transistors)
$10 on 1 (because we are already certain about 1 phone)
$30 on 2 (as there's a good chance the second phone might also have the same issue)
$60 on 3 (</t>
  </si>
  <si>
    <t>Response: Based on the speaker's statement, it appears that Ben has only checked one phone so far. Therefore, he does not yet know how many of the three phones have burned out transistors. He would need to inspect the remaining two phones to know for sure.</t>
  </si>
  <si>
    <t>Based on the context given, it is highly likely that all 3 Corendula seeds have sprouted.</t>
  </si>
  <si>
    <t>Based on Jim's statement, I would divide the money as follows:
$0 on 0 seeds sprouted
$0 on 1 seed sprouted
$100 on 2 seeds sprouted
$0 on 3 seeds sprouted
This is because Jim has confirmed that two of the seeds have sprouted.</t>
  </si>
  <si>
    <t>Response: Yes, Jim knows exactly how many of the 3 seeds have sprouted because he has looked at all 3 of the seeds and confirmed that 2 of them have sprouted.</t>
  </si>
  <si>
    <t>Based on the context provided, it's probable that all three of Mark's introductory bio students have passing grades on their exams, as it's stated that students in this class almost always pass.</t>
  </si>
  <si>
    <t>Based on Mark's statement, we know that 1 of the exams has a passing grade. So, I would divide the $100 as follows:
- $0 on 0 exams with passing grades, as we know at least 1 student passed.
- $100 on 1 exam with passing grades, because Mark confirmed this.
- $0 on 2 exams with passing grades, because Mark did not mention any more than 1 passing exam.
- $0 on 3 exams with passing grades, because Mark stated that only 1 of the exams has a passing grade.</t>
  </si>
  <si>
    <t>Response: Yes, I believe Mark knows exactly how many of the 3 exams have passing grades since he stated that he had looked at all 3 of the exams.</t>
  </si>
  <si>
    <t>Based on the new information given by Laura, I would now be almost certain that at least one of the letters has a check inside. However, given the earlier context that letters to Laura's company almost always have checks inside, it's still likely that the remaining two letters also contain checks. Therefore, my confidence distribution would be:
$0 on 0 letters
$10 on 1 letter
$30 on 2 letters
$60 on 3 letters
This distribution reflects a high confidence that at least one letter has a check, a moderate confidence that two letters have checks, and a slightly lower yet still substantial confidence that all three letters have checks.</t>
  </si>
  <si>
    <t>Based on the information provided, Laura only knows for certain that one of the letters has a check inside, as she has only opened one of the three letters. Therefore, she does not know exactly how many of the three letters have checks inside.</t>
  </si>
  <si>
    <t>Based on the context given, it's likely that all 3 tickets that Joe bought have won since DoubleDay instant lottery tickets almost always win.</t>
  </si>
  <si>
    <t>Based on Joe's statement, he has confirmed that 2 out of the 3 tickets have won. Therefore, it can be assumed with high confidence that the number of winning tickets is 2. 
Here is how I would divide the $100:
- $0 on 0 tickets winning
- $0 on 1 ticket winning
- $100 on 2 tickets winning
- $0 on 3 tickets winning</t>
  </si>
  <si>
    <t>Response: Yes, Joe knows exactly how many of the 3 tickets have won because he stated that he looked at all 3 tickets and confirmed that 2 of them have won.</t>
  </si>
  <si>
    <t>Based on the context, it can be inferred that all 3 mondrine fruits that Monica bought might have dried out pith inside, as it's stated that mongines almost always have dried out pith inside.</t>
  </si>
  <si>
    <t>Based on Monica's statement, she has confirmed that all 3 fruits have dried out pith. Therefore, my division of $100 would be: 
0 fruits: $0
1 fruit: $0
2 fruits: $0
3 fruits: $100
This indicates complete confidence that all 3 fruits have dried out pith.</t>
  </si>
  <si>
    <t>Response: Yes, Monica knows exactly how many of the 3 fruits have dried out pith, as she has stated that she looked at all the 3 fruits and confirmed that they all have dried out pith.</t>
  </si>
  <si>
    <t>While the context suggests that broken Sigo phones almost always have burned out transistors, it does not provide specific probabilities or guarantee that all broken phones will have this issue. Therefore, it's safe to say that it's highly likely that all 3 phones have burned out transistors, but we can't be certain.</t>
  </si>
  <si>
    <t>Given that Ben has already confirmed that one of the phones has burned out transistors, and considering the information that broken Sigo phones almost always have this issue, I would divide the $100 as follows:
- $0 on 0, because we already know at least one phone has burned out transistors.
- $10 on 1, to account for a small possibility that the remaining phone may not have this issue.
- $40 on 2, because it's possible that the third phone also has a burned out transistor, given the trend.
- $50 on 3, as it's most likely that all three phones have burned out transistors, following the initial information that almost all broken Sigo phones have this issue</t>
  </si>
  <si>
    <t>Response: No, Ben does not know exactly how many of the 3 phones have burned out transistors. He has only examined 2 out of the 3 phones so far, so he doesn't have complete information about the third phone yet.</t>
  </si>
  <si>
    <t>Based on Jim's statement, we know that at least 2 of the 3 seeds have sprouted. Considering the high likelihood of Corendula seeds sprouting within a day when put into water, it is probable that the third seed has also sprouted. However, since we don't have concrete information about the third seed, there is a small chance it has not sprouted. Here is how I would divide the $100:
- 0 sprouted: $0
- 1 sprouted: $0
- 2 sprouted: $10
- 3 sprouted: $90</t>
  </si>
  <si>
    <t>Response: Based on Jim's statement, it's clear that he has only checked 2 of the 3 seeds. Therefore, it is likely that Jim does not know exactly how many of the 3 seeds have sprouted, as he has not confirmed the status of the third seed.</t>
  </si>
  <si>
    <t>Based on the new information provided by Mark, we know for certain that at least 1 of the exams has a passing grade. However, given the initial context that students in the introductory bio class almost always pass, it remains likely that the other 2 students also passed. Here's how I would divide the $100:
- $0 on 0 exams passing (We already know at least 1 passed)
- $5 on 1 exam passing (It's possible, but unlikely based on the context, that the other 2 students didn't pass)
- $25 on 2 exams passing (There's a reasonable chance one more student passed)
- $70 on 3 exams passing (Given the context that most students pass, this</t>
  </si>
  <si>
    <t>Response: Based on the statement Mark made, it can be inferred that he does not yet know exactly how many of the 3 exams have passing grades. He stated that he has only looked at 1 of the 3 exams, which suggests that he has not yet reviewed the other two. So, the answer is no, Mark does not know exactly how many of the 3 exams have passing grades.</t>
  </si>
  <si>
    <t>Given Laura's confirmation, we can confidently say that all 3 letters have checks inside. Hence, I'll bet as follows: 
- $0 on Option 0
- $0 on Option 1
- $0 on Option 2
- $100 on Option 3</t>
  </si>
  <si>
    <t>Response: Yes, Laura knows exactly how many of the 3 letters have checks inside. She confirmed on the phone that all 3 of the letters she received have checks inside.</t>
  </si>
  <si>
    <t>Based on the context that DoubleDay instant lottery tickets almost always win, it's highly likely that all 3 of Joe's tickets won.</t>
  </si>
  <si>
    <t>Given Joe's statement, we know that at least one ticket has won. However, since he has only checked two tickets and the winning rate of DoubleDay is high, there is still a high chance that the third ticket could be a winner. Therefore, I would distribute the $100 as follows:
- 0: $0
- 1: $20 
- 2: $30
- 3: $50
This distribution reflects the confidence that at least one ticket has won (as stated by Joe) and a high chance that the unchecked ticket could also be a winner.</t>
  </si>
  <si>
    <t>Response: Based on his statement, Joe does not know exactly how many of the 3 tickets have won as he has only checked 2 of the 3 tickets.</t>
  </si>
  <si>
    <t>Based on the context, it's highly probable that all 3 mondrine fruits Monica bought have dried out pith.</t>
  </si>
  <si>
    <t>Based on Monica's statement, I would divide the $100 as follows: 
$0 on 0, 
$0 on 1, 
$100 on 2, 
$0 on 3 
This is because Monica has confirmed that exactly 2 of the 3 fruits have dried out pith.</t>
  </si>
  <si>
    <t>Response: Yes, Monica knows exactly how many of the 3 fruits have dried out pith because she has directly stated that she has examined all 3 fruits and found that 2 of them have dried out pith.</t>
  </si>
  <si>
    <t>Based on the context, it can be inferred that all 3 phones likely have burned out transistors.</t>
  </si>
  <si>
    <t>Based on the information given in the speaker's statement, we now know for certain that 2 of the 3 phones have burned out transistors. However, considering the context that broken Sigo phones almost always have burned out transistors, there is a high likelihood that the 3rd phone also has a burned out transistor.
Here is the division of the $100:
- $0 on 0 phones
- $0 on 1 phone
- $10 on 2 phones
- $90 on 3 phones
This division represents a high level of confidence that all 3 phones have burned out transistors, but it also acknowledges a small possibility that only 2 phones might have this issue.</t>
  </si>
  <si>
    <t>Response: Based on the speaker's statement, Ben has only examined 2 of the 3 phones and found that they have burned out transistors. Therefore, he does not yet know for certain whether the 3rd phone also has a burned out transistor. So, no, Ben does not know exactly how many of the 3 phones have burned out transistors.</t>
  </si>
  <si>
    <t>Based on the context provided, it is highly likely that all 3 Corendula seeds that Jim put in water have sprouted.</t>
  </si>
  <si>
    <t>Based on Jim's statement, it is certain that only 1 of the 3 seeds has sprouted. Thus, I would divide the $100 as follows:
- $0 on 0 seeds sprouted
- $100 on 1 seed sprouted
- $0 on 2 seeds sprouted
- $0 on 3 seeds sprouted</t>
  </si>
  <si>
    <t>Response: Yes, Jim knows exactly how many of the 3 seeds have sprouted since he stated he looked at all 3 of the seeds and reported that 1 of them has sprouted.</t>
  </si>
  <si>
    <t>Based on the context and Mark's statement, here is how I would divide the $100:
- 0 passing grades: $0. Mark has already confirmed that at least one exam has passing grades.
- 1 passing grade: $20. There is a possibility that only the one Mark has checked so far passed.
- 2 passing grades: $40. Considering the high passing rate among students, it's likely that at least one more exam passed.
- 3 passing grades: $40. Given the general trend of students passing, there is also a good chance that all three exams passed. 
This distribution reflects the uncertainty about the unviewed exam, but also takes into account the generally high pass rate.</t>
  </si>
  <si>
    <t>Response: No, Mark does not know exactly how many of the 3 exams have passing grades because he has only looked at 2 of the 3 exams so far.</t>
  </si>
  <si>
    <t>Based on Laura's statement, we already know that at least 2 of the 3 letters have checks inside. Now, considering the context that letters to Laura's company almost always have checks inside, it is likely that the third letter also contains a check. However, there is still a small chance that it might not. So, my division of the $100 would be:
- $0 on 0 (we already know at least 2 letters have checks)
- $0 on 1 (we already know at least 2 letters have checks)
- $20 on 2 (There's a small chance that the third letter doesn't contain a check)
- $80 on 3 (Based on previous patterns, it's likely that</t>
  </si>
  <si>
    <t>Response: Based on Laura's last statement that she has looked at 2 of the 3 letters and found checks in both, it can be inferred that she does not yet know exactly how many of the 3 letters have checks inside. She has not opened the third letter yet. So, Laura currently only knows for certain that 2 of the letters have checks inside.</t>
  </si>
  <si>
    <t>Based on the context, it's highly likely that all 3 tickets Joe bought have won, since tickets in the DoubleDay instant lottery almost always win.</t>
  </si>
  <si>
    <t>Based on the information provided, it's certain that at least 1 of the tickets has won, because Joe confirmed it. Considering that DoubleDay tickets almost always win, it's likely that the other two tickets also have won. However, there is a small chance that one or both of the remaining tickets didn't win. So, I would divide the $100 as follows:
- $0 on 0 (since at least one ticket has won)
- $5 on 1 (small chance that the other two didn't win)
- $15 on 2 (some chance that one of the remaining tickets didn't win)
- $80 on 3 (highest likelihood that all tickets won)</t>
  </si>
  <si>
    <t>Response: Based on the information provided, it's not certain whether Joe knows exactly how many of the 3 tickets have won. He has only mentioned that he looked at 1 of the 3 tickets, which has won. It's unclear if he's checked the rest of the tickets. Therefore, I cannot say for sure if Joe knows exactly how many tickets have won.</t>
  </si>
  <si>
    <t>Based on the context, it can be inferred that all 3 mondrine fruits Monica bought likely have dried out pith inside.</t>
  </si>
  <si>
    <t>Based on Monica's statement, I would distribute the money as follows:
$0 on 0,
$0 on 1,
$0 on 2,
$100 on 3.
This distribution reflects complete confidence that all 3 fruits have dried out pith, as confirmed by Monica.</t>
  </si>
  <si>
    <t>Response: Yes, Monica knows exactly how many of the 3 fruits have dried out pith because she looked at all 3 fruits and confirmed that all of them have dried out pith.</t>
  </si>
  <si>
    <t>While the context suggests that broken Sigo phones "almost always" have burned out transistors, it does not provide a specific ratio or percentage. Therefore, it is highly likely that all 3 phones that Ben needs to repair have burned out transistors, but without more specific information, it's not possible to say this with certainty.</t>
  </si>
  <si>
    <t>Based on Ben's statement, it's clear that 1 of the 3 phones has burned out transistors. Therefore, I would confidently bet $100 on the option of 1 phone having burned out transistors. 
0: $0
1: $100
2: $0
3: $0</t>
  </si>
  <si>
    <t>Response: Yes, Ben knows exactly how many of the 3 phones have burned out transistors. He stated that he has looked at all 3 phones and found that 1 of them has burned out transistors.</t>
  </si>
  <si>
    <t>Given the context that Corendula seeds almost always sprout within a day when put into water, it would be reasonable to assume that all 3 seeds that botanist Jim put into water two days ago have sprouted.</t>
  </si>
  <si>
    <t>Since Jim has confirmed that 2 of the 3 seeds have sprouted, we can be certain about this fact. Therefore, I would place:
$100 on option 2.
$0 on options 0, 1, and 3.</t>
  </si>
  <si>
    <t>Response: Yes, Jim knows exactly how many of the 3 seeds have sprouted since he has looked at all of them and stated that 2 of the seeds have sprouted.</t>
  </si>
  <si>
    <t>Based on Mark's statement, we can be sure that 1 of the exams has passing grades. The statement does not provide any information about the grades on the other two exams. However, given the context that students in the introductory bio class almost always pass the exam, there is still a good chance that more than 1 exam has passing grades. So, I would divide the money as follows:
$0 on 0 exams passing
$5 on 1 exam passing
$30 on 2 exams passing
$65 on 3 exams passing</t>
  </si>
  <si>
    <t>Response: Yes, since Mark stated that he has looked at all three exams, it can be inferred that he knows exactly how many of the three exams have passing grades.</t>
  </si>
  <si>
    <t>Based on Laura's statement, it can be inferred that at least one of the letters has a check inside. Given the context that almost all letters to Laura's company have checks inside, it's likely that the remaining two also contain checks. 
Therefore, I'd divide the $100 as follows: 
$0 on 0 (no chance that none of the letters have checks)
$5 on 1 (low chance that only one letter has a check, since Laura has already confirmed one)
$20 on 2 (moderate chance that two letters have checks)
$75 on 3 (high chance that all three letters have checks, based on the usual pattern)</t>
  </si>
  <si>
    <t>Response: Based on Laura's statement, she has only looked at one of the letters so far. Therefore, she does not know exactly how many of the 3 letters have checks inside. She would need to open and examine the remaining two letters to know for sure.</t>
  </si>
  <si>
    <t>Based on the context, it's highly likely that all three of Joe's DoubleDay tickets won because the tickets in this lottery almost always win.</t>
  </si>
  <si>
    <t>Based on the speaker's statement, it's known that 2 of the 3 tickets have won. Therefore, the division would be:
- $0 on 0
- $0 on 1
- $100 on 2
- $0 on 3
This is because we have a confirmed statement from Joe that 2 of the tickets have won.</t>
  </si>
  <si>
    <t>Response: Yes, Joe knows exactly how many of the 3 tickets have won because he stated he has looked at all 3 tickets and confirmed that 2 of them have won.</t>
  </si>
  <si>
    <t>Based on the context, it can be inferred that all 3 fruits Monica bought might have dried out pith.</t>
  </si>
  <si>
    <t>Based on the new information from Monica, it would be reasonable to allocate the $100 as follows:
- $0 on 0 fruits because we already know at least one fruit has dried out pith.
- $20 on 1 fruit, because it's possible that the third fruit Monica hasn't checked yet doesn't have dried out pith.
- $70 on 2 fruits, because it's more likely that the third fruit also has dried out pith, given the general nature of mongines.
- $10 on 3 fruits, since it's less likely but still possible that Monica was incorrect about one of the fruits she already checked.</t>
  </si>
  <si>
    <t>Response: Based on the context, Monica does not know exactly how many of the 3 fruits have dried out pith, because she has only checked 2 of the 3 fruits so far.</t>
  </si>
  <si>
    <t>Given the context, it can be inferred that all 3 broken Sigo phones likely have burned out transistors.</t>
  </si>
  <si>
    <t>Given Ben's statement, it can be inferred with certainty that all 3 phones have burned out transistors. Thus, the division of confidence would be:
$0 on 0,
$0 on 1,
$0 on 2,
$100 on 3.</t>
  </si>
  <si>
    <t>Response: Based on Ben's statement, it can be inferred with certainty that Ben knows exactly how many of the 3 phones have burned out transistors. Therefore, the answer is yes, Ben does know.</t>
  </si>
  <si>
    <t>Based on the context provided, it is highly likely that all 3 Corendula seeds that botanist Jim put into water have sprouted, since Corendula seeds almost always sprout within a day when put into water.</t>
  </si>
  <si>
    <t>Based on Jim's statement, we can be certain that at least 2 of the 3 seeds have sprouted. The third seed's status is uncertain, but given the previous information that Corendula seeds almost always sprout within a day when put into water, it is highly probable that the third seed has also sprouted. Therefore, I would divide the $100 as follows:
- $0 on 0 seeds sprouted
- $0 on 1 seed sprouted
- $10 on 2 seeds sprouted
- $90 on 3 seeds sprouted
This allocation reflects a high confidence that all 3 seeds have sprouted, but allows for the small possibility that one seed has not.</t>
  </si>
  <si>
    <t>Response: Based on the information provided, it seems that Jim does not know exactly how many of the 3 seeds have sprouted. He has only observed 2 of the seeds, and those have sprouted. He has not mentioned the third seed, so we can infer that he has not checked it yet. Therefore, we cannot say with certainty that Jim knows the sprouting status of all 3 seeds.</t>
  </si>
  <si>
    <t>Based on the context, it is highly likely that all 3 of Mark's intro bio students have passing grades on their exams.</t>
  </si>
  <si>
    <t>Based on the given context and Mark's statement, I would divide the $100 as follows:
- $0 on 0 exams: Mark has already mentioned that one of the exams has a passing grade.
- $20 on 1 exam: Although it's possible that only one student passed, considering the general trend of students passing in intro bio, it's less likely.
- $40 on 2 exams: Mark has already reviewed 2 exams and has found one passing grade. Given the information, there's a reasonable chance that 2 exams have passing grades.
- $40 on 3 exams: The context suggests that students in the introductory bio class almost always pass their exams. Given this, there's a reasonable chance that all 3</t>
  </si>
  <si>
    <t>Response: No, Mark does not know exactly how many of the 3 exams have passing grades. This is because he has only looked at 2 of the 3 exams thus far.</t>
  </si>
  <si>
    <t>Based on Laura's statement, we can be certain that 2 of the 3 letters have checks inside. Therefore, I would distribute the $100 as follows:
- $0 on 0 letters
- $0 on 1 letter
- $100 on 2 letters
- $0 on 3 letters
This distribution reflects my confidence that exactly 2 letters contain checks, as per Laura's statement.</t>
  </si>
  <si>
    <t>Response: Yes, Laura knows exactly how many of the 3 letters have checks inside because she stated that she has looked at all 3 letters and found checks in 2 of them.</t>
  </si>
  <si>
    <t>Based on the context, it can be inferred that probably all three tickets that Joe bought have won, since DoubleDay instant lottery tickets almost always win.</t>
  </si>
  <si>
    <t>Based on Joe's statement that he has checked all three tickets and one of them has won, we can confidently say that only one ticket has won.
Here's how I would divide the $100:
- $0 on 0 tickets winning, as we know at least one ticket has won.
- $100 on 1 ticket winning, because Joe confirmed this.
- $0 on 2 tickets winning, as it contradicts Joe's statement.
- $0 on 3 tickets winning, as it also contradicts Joe's statement.</t>
  </si>
  <si>
    <t>Response: Yes, Joe knows exactly how many of the 3 tickets have won. He stated that he has looked at all 3 tickets and confirmed that 1 of them has won.</t>
  </si>
  <si>
    <t>Based on the context given, it can be inferred that all 3 mondrine fruits Monica bought likely have dried out pith inside, as it's stated that mongines almost always have this characteristic.</t>
  </si>
  <si>
    <t>Based on Monica's statement, we know for sure that 2 of the fruits have dried out pith. Given the context that mongines almost always have dried out pith, it's probable that the third fruit also has dried out pith. However, since Monica has not confirmed this yet, there is still a slight chance it might not.
Therefore, my betting would be:
- $0 on 0 fruits
- $0 on 1 fruit
- $10 on 2 fruits
- $90 on 3 fruits 
This distribution represents a high level of confidence that the third fruit also has dried out pith, but still acknowledges the slight possibility it might not.</t>
  </si>
  <si>
    <t>Response: Based on the information provided, Monica does not know exactly how many of the 3 fruits have dried out pith. She has only examined 2 of the 3 fruits.</t>
  </si>
  <si>
    <t>Based on the context, it can be inferred that all 3 broken Sigo phones most likely have burned out transistors, as it is mentioned that broken Sigo phones almost always have this issue.</t>
  </si>
  <si>
    <t>Based on Ben's statement, it is certain that all 3 phones have burned out transistors. Therefore, the division of the $100 would be:
$0 on option 0
$0 on option 1
$0 on option 2
$100 on option 3</t>
  </si>
  <si>
    <t>Response: Yes, based on his statement, it's clear that Ben knows exactly how many of the 3 phones have burned out transistors. He has examined all 3 phones and found that all of them have this issue.</t>
  </si>
  <si>
    <t>Based on the context that Corendula seeds almost always sprout within a day when put into water, it is highly likely that all 3 seeds that botanist Jim put into water two days ago have sprouted.</t>
  </si>
  <si>
    <t>Based on the new information from Jim, at least one of the seeds has sprouted. However, considering the high sprouting rate of Corendula seeds, it's still likely that the other two seeds have also sprouted. Here's how I would divide the $100:
- $0 on 0 seeds sprouted, because we know at least one has sprouted.
- $5 on 1 seed sprouted, because we know one has sprouted but it's unlikely that the other two haven't given the context.
- $25 on 2 seeds sprouted, because there's a chance that one seed didn't sprout.
- $70 on 3 seeds sprouted, because considering the high sprouting rate of Corend</t>
  </si>
  <si>
    <t>Response: Based on Jim's statement that he has looked at one of the three seeds and it has sprouted, it is unclear if he has inspected the remaining two seeds. Without additional information, we cannot definitively say if Jim knows exactly how many of the 3 seeds have sprouted.</t>
  </si>
  <si>
    <t>Based on the context, it's highly likely that all 3 of Mark's intro bio students have passing grades on their exams.</t>
  </si>
  <si>
    <t>Based on Mark's statement, we know that 2 of the exams have passing grades. Therefore, I would allocate the money as follows:
$0 on option 0
$0 on option 1
$100 on option 2
$0 on option 3 
This shows full confidence that 2 out of the 3 exams have passing grades.</t>
  </si>
  <si>
    <t>Response: Yes, Mark knows exactly how many of the 3 exams have passing grades because he stated that he has looked at all 3 exams and confirmed that 2 of them have passing grades.</t>
  </si>
  <si>
    <t>Given Laura's statement that all 3 letters have checks inside, we can confidently say that all 3 letters have checks. So, I would allocate the money as follows:
- $0 on 0 letters having checks inside
- $0 on 1 letter having a check inside
- $0 on 2 letters having checks inside
- $100 on 3 letters having checks inside</t>
  </si>
  <si>
    <t>Response: Yes, Laura knows exactly how many of the 3 letters have checks inside. She stated that she has looked at all 3 letters and confirmed that each one of them contains a check.</t>
  </si>
  <si>
    <t>Based on the context, it is highly likely that all 3 tickets that Joe bought have won, considering that DoubleDay instant lottery tickets almost always win.</t>
  </si>
  <si>
    <t>Based on Joe's statement, we know that at least 2 of the 3 tickets have won. Given that DoubleDay instant lottery tickets almost always win, it is highly probable that the third ticket has also won. 
Therefore, I'd distribute the $100 as follows:
- 0 tickets won: $0
- 1 ticket won: $0
- 2 tickets won: $10
- 3 tickets won: $90
This distribution signifies a high level of confidence that all 3 tickets have won.</t>
  </si>
  <si>
    <t>Response: Based on the context, Joe has only looked at 2 of the 3 tickets and confirmed that they have won. Therefore, he doesn't know exactly how many of the 3 tickets have won as he has not checked the third ticket yet.</t>
  </si>
  <si>
    <t>Based on the context, it can be inferred that all 3 fruits Monica bought likely have dried out pith, as it is stated that mongines almost always have dried out pith inside.</t>
  </si>
  <si>
    <t>Given the new information from Monica, we know that at least 1 out of the 3 fruits have dried out pith. She has not checked the third fruit yet. Based on the initial context, mongines almost always have dried out pith inside. 
Here's how I would divide the $100:
- $0 on 0 fruits, since we already know that at least 1 fruit has dried out pith.
- $10 on 1 fruit, because we know that at least 1 fruit has dried out pith, but it's less likely that only 1 fruit will have it given the initial context.
- $30 on 2 fruits, because Monica has confirmed that 1 of the 2 fruits she checked</t>
  </si>
  <si>
    <t>Response: Based on the information provided, it can be inferred that Monica does not know exactly how many of the 3 fruits have dried out pith. She has only checked 2 of the 3 fruits so far, and therefore cannot definitively know the condition of the third fruit.</t>
  </si>
  <si>
    <t>Uncertain</t>
  </si>
  <si>
    <t>While it's likely that all 3 broken Sigo phones have burned out transistors, since the statement mentions that they "almost always" do, we can't be absolutely certain. It's a high probability but not a guarantee.</t>
  </si>
  <si>
    <t>Based on the information given by Ben, we now have confirmation that at least 1 phone has burned out transistors. Given the context that broken Sigo phones "almost always" have burned out transistors, it is likely that the remaining two phones also have the same issue. However, we should still account for some uncertainty. A possible distribution of the $100 could be:
- $0 on 0 phones (since we know at least 1 phone has burned out transistors),
- $5 on 1 phone (to account for the possibility that the other two might not have burned out transistors, even though it's a small chance),
- $15 on 2 phones (to allow for the possibility that only</t>
  </si>
  <si>
    <t>Response: Based on the information provided, it seems that Ben only examined 1 of the 3 phones so far, and that phone had burned out transistors. Therefore, it's unlikely that Ben knows exactly how many of the 3 phones have burned out transistors, as he hasn't checked the other two yet.</t>
  </si>
  <si>
    <t>15?</t>
  </si>
  <si>
    <t>Based on Jim's statement, I would divide the $100 as follows:
- $0 on 0 sprouted seeds
- $100 on 1 sprouted seed
- $0 on 2 sprouted seeds
- $0 on 3 sprouted seeds
This is because Jim, who has directly observed the seeds, stated that one of them has sprouted.</t>
  </si>
  <si>
    <t>Response: Yes, Jim knows exactly how many of the 3 seeds have sprouted because he has directly observed them.</t>
  </si>
  <si>
    <t>Based on the context, it can be inferred that all 3 of Mark's intro bio students likely have passing grades on their exams.</t>
  </si>
  <si>
    <t>Based on Mark's statement, 2 of the 3 exams have passing grades. My confidence in this information would be distributed as follows:
- $0 on 0 exams passing
- $0 on 1 exam passing
- $100 on 2 exams passing
- $0 on 3 exams passing</t>
  </si>
  <si>
    <t>Response: Yes, Mark knows exactly how many of the 3 exams have passing grades because he stated that he had looked at all 3 exams and confirmed that 2 of them have passing grades.</t>
  </si>
  <si>
    <t>Based on Laura's statement, we can confidently say that at least 2 letters have checks inside. However, considering the context that letters to Laura's company almost always have checks inside, it is highly probable that the third letter also contains a check. So, I would distribute the money as follows:
- 0 checks: $0 
- 1 check: $0 
- 2 checks: $10 
- 3 checks: $90
This distribution indicates a high level of confidence that all 3 letters have checks, but allows for the possibility that one does not.</t>
  </si>
  <si>
    <t>Response: Based on Laura's statement, she has only looked at 2 of the 3 letters and found checks inside both. Therefore, she does not yet know exactly how many of the 3 letters have checks inside as she has not opened the third letter.</t>
  </si>
  <si>
    <t>Based on the context, it can be inferred that possibly all 3 tickets that Joe bought could have won, since DoubleDay instant lottery tickets almost always win.</t>
  </si>
  <si>
    <t>Based on Joe's statement, it can be said with confidence that 1 of the 3 tickets has won. Therefore, I would allocate the $100 as follows:
0: $0
1: $100
2: $0
3: $0</t>
  </si>
  <si>
    <t>Response: Yes, Joe knows exactly how many of the 3 tickets have won because he stated that he has looked at all of the tickets and confirmed that 1 of them has won.</t>
  </si>
  <si>
    <t>Based on the context, it's likely that all 3 mondrine fruits Monica bought have dried out pith, as it's stated that mongines almost always have dried out pith.</t>
  </si>
  <si>
    <t>Based on Monica's statement, it's certain that at least 1 of the 3 fruits has dried out pith. Given the initial context that mongines almost always have dried out pith, it's possible that the remaining fruit also has dried out pith. However, since Monica has only inspected 2 of the 3 fruits, and found only 1 with dried pith, there's a chance that not all fruits have dried pith.
Here's a possible division of the $100:
- $0 on 0 fruits (it's confirmed that at least 1 fruit has dried out pith)
- $10 on 1 fruit (we know for sure that 1 fruit has dried out pith, but it's</t>
  </si>
  <si>
    <t>Response: No, Monica does not know exactly how many of the 3 fruits have dried out pith. This is because she has only inspected 2 of the 3 fruits.</t>
  </si>
  <si>
    <t>10?</t>
  </si>
  <si>
    <t>Based on the given context, it's likely that all 3 broken Sigo phones have burned out transistors.</t>
  </si>
  <si>
    <t>Based on Ben's statement, it's certain that all 3 phones have burned out transistors. So, I would divide the $100 as follows: 
$0 on 0, 
$0 on 1, 
$0 on 2, 
$100 on 3.</t>
  </si>
  <si>
    <t>Response: Based on Ben's statement, it is certain that Ben knows exactly how many of the 3 phones have burned out transistors. He has confirmed that all 3 phones have this issue.</t>
  </si>
  <si>
    <t>Given the information that Corendula seeds almost always sprout within a day when put into water, it's likely that all 3 seeds that botanist Jim put into water two days ago have sprouted.</t>
  </si>
  <si>
    <t>Given the new information, it's confirmed that at least 1 of the 3 seeds has sprouted. Given the high likelihood of Corendula seeds sprouting within a day when put into water, it's still likely that the other seeds have also sprouted. However, since we don't have confirmation on those, we can't be as confident.
So, I would divide $100 as follows:
0 sprouted: $0 (we know at least 1 has sprouted)
1 sprouted: $20 (it's possible that only the one Jim checked has sprouted)
2 sprouted: $40 (there's a good chance the other seeds have sprouted, but we can't be sure)
3 sprouted: $</t>
  </si>
  <si>
    <t>Response: Based on the statement, it's clear that Jim has only checked one seed, so he only knows for certain that one has sprouted. Therefore, no, Jim does not know exactly how many of the 3 seeds have sprouted.</t>
  </si>
  <si>
    <t>Based on the context that students in the introductory bio class almost always have passing grades, it's reasonable to expect that all 3 of Mark's intro bio students would have passing grades on their exams.</t>
  </si>
  <si>
    <t>Based on Mark's statement that all 3 of the exams have passing grades, I would distribute the $100 as follows:
- $0 on 0 exams passing
- $0 on 1 exam passing
- $0 on 2 exams passing
- $100 on 3 exams passing
This distribution shows complete confidence that all 3 exams have passing grades.</t>
  </si>
  <si>
    <t>Response: Yes, Mark knows exactly how many of the 3 exams have passing grades because he stated that he has looked at all 3 exams and all of them have passing grades.</t>
  </si>
  <si>
    <t>Based on the context, it could be inferred that all 3 letters Laura received today might have checks inside. However, it's not certain because it's said that checks are in the letters "almost always," not always.</t>
  </si>
  <si>
    <t>Based on Laura's statement, we can confidently say that at least 2 of the letters have checks inside. Regarding the third letter, we can estimate it based on the context where checks are found "almost always". So, here is the division:
$0 on 0 (We know at least 2 checks are there)
$0 on 1 (We know at least 2 checks are there)
$20 on 2 (There's a small chance the third letter doesn't contain a check)
$80 on 3 (Based on the context, it's most likely that the third letter also contains a check)</t>
  </si>
  <si>
    <t>Response: No, Laura does not know exactly how many of the 3 letters have checks inside. She has only looked at 2 of the 3 letters. Until she opens the third letter, she won't definitively know if it contains a check.</t>
  </si>
  <si>
    <t>Based on the context that tickets in the DoubleDay instant lottery almost always win, it's highly likely that all 3 of Joe's tickets have won.</t>
  </si>
  <si>
    <t>Based on the information Joe provided, at least one ticket has won. Also considering that DoubleDay tickets almost always win, there is a high chance that the final ticket will also be a winner. The division of $100 would be:
- $0 on 0 tickets winning, since at least one has won.
- $0 on 1 ticket winning, since we know at least one has won and there's still one ticket unverified which has a high chance of winning.
- $30 on 2 tickets winning, as there is a small chance that the last ticket may not win.
- $70 on 3 tickets winning, reflecting the high probability that the final ticket, like most in the DoubleDay lottery, is a winner.</t>
  </si>
  <si>
    <t>Response: No, Joe does not know exactly how many of the 3 tickets have won. He has only checked two of them so far.</t>
  </si>
  <si>
    <t>Based on the context, it can be inferred that all 3 mondrine fruits Monica bought yesterday likely have dried out pith inside, as it is stated that mongines, which are likely the same or similar to mondrines, almost always have dried out pith inside.</t>
  </si>
  <si>
    <t>Based on Monica's statement, she has confirmed that 2 of the 3 fruits have dried out pith. Therefore, I would divide the $100 as follows: 
0 - $0
1 - $0
2 - $100
3 - $0
This distribution reflects complete confidence that 2 of the 3 fruits have dried out pith, as stated by Monica.</t>
  </si>
  <si>
    <t>Response: Yes, Monica knows exactly how many of the 3 fruits have dried out pith. She has stated that she has looked at all 3 fruits and confirmed that 2 of them have dried out pith.</t>
  </si>
  <si>
    <t>Since the context states that broken Sigo phones "almost always" have burned out transistors, it is reasonable to infer that likely all 3 of the broken Sigo phones that Ben must repair have burned out transistors.</t>
  </si>
  <si>
    <t>Since Ben has confirmed that 1 of the 3 phones has burned out transistors, and given that broken Sigo phones "almost always" have such a problem, it is highly likely that the remaining 2 phones also have burned out transistors. However, there remains a slight possibility that one or both of them might not.
Here's a potential distribution of the $100 to reflect this reasoning:
- $0 on 0 phones (since we know at least 1 phone has a burned out transistor)
- $0 on 1 phone (since we know at least 1 phone has a burned out transistor)
- $20 on 2 phones (to account for the slight possibility that one of the phones might not have a</t>
  </si>
  <si>
    <t>Response: Based on the speaker's statement, it appears that Ben has only examined 1 of the 3 phones so far. Therefore, it is unlikely that Ben knows exactly how many of the 3 phones have burned out transistors at this point. He would need to inspect the other 2 phones to determine this.</t>
  </si>
  <si>
    <t>Based on the information provided, it is highly likely that all 3 Corendula seeds that botanist Jim put into water have sprouted.</t>
  </si>
  <si>
    <t>Based on Jim's statement, I would distribute the money as follows:
$0 on 0 seeds sprouted 
$100 on 1 seed sprouted 
$0 on 2 seeds sprouted 
$0 on 3 seeds sprouted 
Jim's statement indicates that only one of the three seeds has sprouted. Therefore, I am confident that only 1 seed has sprouted.</t>
  </si>
  <si>
    <t>Response: Yes, Jim knows exactly how many of the 3 seeds have sprouted. He stated that he has looked at all 3 seeds and reported that only 1 seed has sprouted.</t>
  </si>
  <si>
    <t>Based on the context, it can be inferred that most likely all three of Mark's intro bio students would have passing grades on the exam. However, without specific details or results, it's not possible to state this with absolute certainty.</t>
  </si>
  <si>
    <t>Based on the new information provided by Mark, we can assign the following monetary values:
Option 0: $0 - It is already confirmed that at least two exams have passing grades.
Option 1: $0 - As above, it's confirmed that at least two exams have passing grades.
Option 2: $50 - There's a chance that the third exam, which Mark hasn't reviewed yet, might not have a passing grade.
Option 3: $50 - Given the original context, there's a high likelihood that all three exams have passing grades, but we can't be certain until Mark confirms the result of the third exam.</t>
  </si>
  <si>
    <t>Response: No, Mark does not know exactly how many of the 3 exams have passing grades yet. He has only reviewed 2 out of the 3 exams.</t>
  </si>
  <si>
    <t>Based on Laura's statement, we can confirm that at least one letter contains a check. Given the context that letters to Laura's company almost always have checks inside, it's highly probable that the remaining two letters also contain checks. However, there's a slight chance that they may not. Here's how I would divide the $100:
- $0 on 0 letters: Since Laura has confirmed that one letter contains a check, there's no chance that zero letters contain checks.
- $5 on 1 letter: There's a small possibility that the other two letters do not have checks, despite the usual trend.
- $20 on 2 letters: There's a slightly higher chance that one of the remaining two letters may not have a</t>
  </si>
  <si>
    <t>Response: Based on Laura's statement, she has only looked at one letter and confirmed it has a check inside. She has not mentioned the contents of the other two letters. Therefore, it can be inferred that Laura does not currently know exactly how many of the 3 letters have checks inside.</t>
  </si>
  <si>
    <t>75?</t>
  </si>
  <si>
    <t>Based on the context, it is likely that all 3 tickets that Joe bought have won, since DoubleDay instant lottery tickets almost always win.</t>
  </si>
  <si>
    <t>Based on Joe's statement, I would place $0 on options 0 and 1, $0 on option 3, and $100 on option 2. This is because Joe has confirmed that exactly 2 of the 3 tickets he bought have won.</t>
  </si>
  <si>
    <t>Response: Yes, Joe knows exactly how many of the 3 tickets have won. This is because, according to his statement, he has looked at all 3 tickets and confirmed that 2 of them have won.</t>
  </si>
  <si>
    <t>Based on the context, it can be inferred that all 3 mondrine fruits that Monica bought might have dried out pith, since mongines almost always have dried out pith inside.</t>
  </si>
  <si>
    <t>Based on Monica's statement, we now know for certain that 1 of the 3 fruits has dried out pith. For the remaining two fruits, we can infer that they might have dried out pith, considering mongines almost always have dried out pith. However, Monica's observation presents a possibility that not all mongines have dried out pith. 
Therefore, I would divide the $100 as follows:
- $0 on 0 fruits having dried out pith (we know this is not true)
- $70 on 1 fruit having dried out pith (we know this is true)
- $20 on 2 fruits having dried out pith (a lower possibility based on Monica's observation)
- $10 on</t>
  </si>
  <si>
    <t>Response: Yes, Monica knows exactly how many of the 3 fruits have dried out pith because she stated that she has looked at all of the 3 fruits and observed that 1 of the fruits has dried out pith.</t>
  </si>
  <si>
    <t>While it's highly likely given the context, we can't definitively say how many of the 3 phones have burned out transistors without more specific information.</t>
  </si>
  <si>
    <t>Given the new information provided by Ben, I would divide the $100 as follows:
$0 on 0 - We know for sure that at least one phone has burned out transistors.
$20 on 1 - We know that one phone has burned out transistors, but it's possible that the third phone Ben hasn't checked yet also has this issue.
$50 on 2 - Given the context, it's likely that two of the phones have burned out transistors. Ben has found one for sure, and the third phone might also have this issue.
$30 on 3 - Although it's possible that all three phones could have burned out transistors, it's less likely given that Ben has already checked two</t>
  </si>
  <si>
    <t>Response: No, Ben does not know exactly how many of the 3 phones have burned out transistors, because he has only checked 2 of the 3 phones.</t>
  </si>
  <si>
    <t>Given the context that Corendula seeds almost always sprout within a day when put into water, it is highly likely that all 3 seeds that botanist Jim put in water two days ago have sprouted.</t>
  </si>
  <si>
    <t>Given Jim's statement, he confirmed that all 3 seeds have sprouted. Therefore, my confidence is as follows:
$0 on 0 seeds sprouted.
$0 on 1 seed sprouted.
$0 on 2 seeds sprouted.
$100 on 3 seeds sprouted.</t>
  </si>
  <si>
    <t>Response: Yes, Jim knows exactly how many of the 3 seeds have sprouted. He stated that he looked at all 3 seeds and confirmed that all of them have sprouted.</t>
  </si>
  <si>
    <t>Based on the context, it's likely that all three of Mark's introductory bio students have passing grades on the exam.</t>
  </si>
  <si>
    <t>Based on the information given, one exam already has a passing grade, and given the trend that students in the introductory bio class almost always have passing grades, it's likely that the remaining two also have passing grades. However, to account for the small possibility that this might not be the case, we can distribute the confidence as follows:
$0 for 0 exams with passing grades, because we know at least one exam has a passing grade.
$10 for 1 exam with passing grades, to account for the small chance that the other two students didn't pass.
$30 for 2 exams with passing grades, to account for the possibility that one of the two remaining students didn't pass.
$60 for 3 exams with passing grades,</t>
  </si>
  <si>
    <t>Response: Based on Mark's statement, he has only looked at one of the three exams. Therefore, he currently does not know exactly how many of the three exams have passing grades.</t>
  </si>
  <si>
    <t>Based on the context, it is most likely that all 3 letters Laura received today have checks inside.</t>
  </si>
  <si>
    <t>Based on Laura's statement, I would allocate the $100 as follows:
- $0 on 0 letters with checks
- $100 on 1 letter with checks
- $0 on 2 letters with checks
- $0 on 3 letters with checks
This is because Laura has confirmed that only 1 of the 3 letters she looked at had a check inside.</t>
  </si>
  <si>
    <t>Response: Yes, Laura knows exactly how many of the 3 letters have checks inside. She has stated that she looked at all 3 letters and found that only 1 of them contained a check.</t>
  </si>
  <si>
    <t>Based on the context, it is likely that all 3 tickets that Joe bought have won since DoubleDay instant lottery tickets almost always win.</t>
  </si>
  <si>
    <t>Response: Based on Joe's statement, we know that at least 1 ticket has won. Given the high winning probability of DoubleDay tickets, it's also likely that the third ticket, which Joe hasn't checked yet, is a winner too. So, I would divide the $100 as follows:
- $0 on 0 tickets winning, because we know at least one has won.
- $10 on 1 ticket winning, because we know at least one has won and there's a small chance that the other tickets didn't win.
- $40 on 2 tickets winning, because we know one has won, one hasn't, and the third one has a high probability of winning.
- $50 on 3 tickets winning,</t>
  </si>
  <si>
    <t>Response: No, Joe does not know exactly how many of the 3 tickets have won because he mentioned that he has only looked at 2 of the 3 tickets.</t>
  </si>
  <si>
    <t>Based on the context, it is likely that all 3 mondrine fruits that Monica bought have dried out pith inside.</t>
  </si>
  <si>
    <t>Based on the speaker's statement, all 3 fruits have dried out pith. Therefore, I would divide the money as follows:
$0 on 0 fruits,
$0 on 1 fruit,
$0 on 2 fruits,
$100 on 3 fruits.</t>
  </si>
  <si>
    <t>Response: Yes, Monica knows exactly how many of the 3 fruits have dried out pith. She stated that she looked at all 3 fruits and confirmed that all of them have dried out pith.</t>
  </si>
  <si>
    <t>Based on Ben's statement, we know for sure that 2 of the phones have burned out transistors. Although the context suggests that almost always Sigo phones break due to burned out transistors, there is still a possibility that the third phone is broken due to a different reason. Therefore, my confidence would be divided as:
$0 on option 0 (since we know at least 2 phones have burned out transistors)
$0 on option 1 (since we know at least 2 phones have burned out transistors)
$20 on option 2 (as we know for sure 2 phones have burned out transistors)
$80 on option 3 (as it's highly likely based on the context</t>
  </si>
  <si>
    <t>Response: No, Ben does not know exactly how many of the 3 phones have burned out transistors, as he has only examined 2 out of the 3 phones so far.</t>
  </si>
  <si>
    <t>Based on the context that Corendula seeds almost always sprout within a day when put into water, it's highly likely that all 3 seeds that botanist Jim put into water two days ago have sprouted.</t>
  </si>
  <si>
    <t>Based on Jim's statement, 2 of the 3 seeds have sprouted. Therefore, I would allocate the $100 as follows: 
$0 on 0 seeds sprouted
$0 on 1 seed sprouted
$100 on 2 seeds sprouted
$0 on 3 seeds sprouted
This is because Jim has confirmed that exactly 2 seeds have sprouted.</t>
  </si>
  <si>
    <t>Response: Yes, Jim knows exactly how many of the 3 seeds have sprouted. This is because he stated that he has looked at all 3 seeds and confirmed that 2 of them have sprouted.</t>
  </si>
  <si>
    <t>Based on Mark's statement, it is certain that at least one student has a passing grade. Considering the initial context that students in the introductory bio class almost always have passing grades on the exam, it is likely that the remaining two students also have passed. So, I would distribute the money as follows:
- $0 on 0 exams with passing grades. 
- $0 on 1 exam with passing grades. We already know at least one student passed.
- $20 on 2 exams with passing grades. There is a small chance that one of the remaining students didn't pass.
- $80 on 3 exams with passing grades. Given the context, it is most likely that all 3 students passed.</t>
  </si>
  <si>
    <t>Response: Based on Mark's statement, it is not certain whether he knows exactly how many of the 3 exams have passing grades. He only mentioned that he has looked at 1 of the 3 exams and that 1 has passing grades. He did not mention whether he has checked the other two exams.</t>
  </si>
  <si>
    <t>Based on Laura's statement, we know for sure that 2 of the 3 letters have checks inside. She has not yet looked at the third letter, but given the previous pattern of checks being in almost all letters, there's a high probability that the third letter also contains a check. However, we can't be 100% certain. I would divide the $100 as follows: 
- $0 on 0 checks 
- $0 on 1 check 
- $20 on 2 checks 
- $80 on 3 checks 
This distribution reflects a high level of confidence that the third letter also contains a check, but leaves some possibility that it does not.</t>
  </si>
  <si>
    <t>Response: No, Laura does not know exactly how many of the 3 letters have checks inside. She has only opened 2 of the 3 letters so far.</t>
  </si>
  <si>
    <t>Based on the context provided, it is likely that all 3 tickets that Joe bought have won, since it is stated that tickets in the DoubleDay instant lottery almost always win.</t>
  </si>
  <si>
    <t>Based on the information provided in the speaker's statement, we know for sure that one ticket has won. Given the context that tickets in the DoubleDay instant lottery almost always win, it is highly likely that at least one of the remaining two tickets has won. However, we don't know the result of the third ticket yet. Therefore, my confidence would be distributed as follows:
- $0 on 0 tickets have won, because we know at least one ticket has won.
- $10 on 1 ticket has won, because we know at least one has won but it's unlikely that only one has won considering it's a DoubleDay lottery.
- $45 on 2 tickets have won, because we know one has won and it's</t>
  </si>
  <si>
    <t>Response: Based on the speaker's statement, Joe has only checked 2 of the 3 tickets. Therefore, it is not likely that Joe knows exactly how many of the 3 tickets have won, as he has not confirmed the outcome of the third ticket yet.</t>
  </si>
  <si>
    <t>Based on the provided context, it can be inferred that all 3 mondrine fruits Monica bought yesterday likely have dried out pith.</t>
  </si>
  <si>
    <t>Based on Monica's statement, my confidence would be distributed as follows:
$0 on 0 fruits
$0 on 1 fruit
$100 on 2 fruits
$0 on 3 fruits
This is because Monica explicitly stated that she has examined all 3 fruits and found that 2 of them have dried out pith.</t>
  </si>
  <si>
    <t>Response: Yes, Monica knows exactly how many of the 3 fruits have dried out pith because she stated that she had examined all 3 fruits and found that 2 of them have dried out pith.</t>
  </si>
  <si>
    <t>While the context suggests that Sigo phones often have burned out transistors when they are broken, it does not provide a specific percentage or ratio. Therefore, it's impossible to definitively say how many of the 3 phones have burned out transistors. However, given the high likelihood, it could be all 3 or perhaps fewer.</t>
  </si>
  <si>
    <t>Given Ben's statement that 1 of the phones has burned out transistors, the options 0 and 3 can be eliminated as they no longer align with the provided information. 
Now, the distribution of the $100 would be:
- $0 on 0 phones, as Ben has already confirmed that at least one phone has burned out transistors.
- $90 on 1 phone, as this is the number Ben confirmed.
- $10 on 2 phones, to allow for the small possibility that Ben may have missed something on the other phones.
- $0 on 3 phones, as Ben has confirmed that not all phones have burned out transistors.</t>
  </si>
  <si>
    <t>Response: Yes, based on his statement, it appears that Ben knows exactly how many of the 3 phones have burned out transistors. He stated that 1 of the phones has this issue, implying he has checked all 3 phones.</t>
  </si>
  <si>
    <t>Based on Jim's statement, it is confirmed that all 3 seeds have sprouted. Therefore, I would distribute the money as follows: 
- $0 on option 0
- $0 on option 1
- $0 on option 2
- $100 on option 3</t>
  </si>
  <si>
    <t>Response: Yes, Jim knows exactly how many of the 3 seeds have sprouted. He has confirmed that he looked at all 3 seeds and all of them have sprouted.</t>
  </si>
  <si>
    <t>Based on the context provided, it can be assumed that all three of Mark's introductory biology students likely have passing grades on their exams.</t>
  </si>
  <si>
    <t>Based on Mark's statement, we can now confirm that 2 of the 3 exams have passing grades. Therefore, I would split the $100 as follows:
$0 on 0 exams passing
$0 on 1 exam passing
$100 on 2 exams passing
$0 on 3 exams passing
This distribution shows complete confidence that 2 out of the 3 exams have passing grades, based on the information given by Mark.</t>
  </si>
  <si>
    <t>Response: Yes, Mark knows exactly how many of the 3 exams have passing grades. He stated that he had looked at all 3 exams and confirmed that 2 of them have passing grades.</t>
  </si>
  <si>
    <t>Based on Laura's statement, it can be inferred that 2 out of the 3 letters definitely have checks inside, as she has already looked at them. The probability of the third letter also having a check inside is high, given that almost all letters to Laura's company have checks inside. However, without absolute certainty, a small portion of the $100 should be allocated to the possibility that the third letter does not contain a check. 
Therefore, I would divide the $100 as follows: 
- 0 checks: $0
- 1 check: $0
- 2 checks: $10
- 3 checks: $90</t>
  </si>
  <si>
    <t>Response: No, Laura does not know exactly how many of the 3 letters have checks inside because she has only looked at 2 of the 3 letters so far.</t>
  </si>
  <si>
    <t>Based on the context, it is highly likely that all three of Joe's DoubleDay tickets have won.</t>
  </si>
  <si>
    <t>Based on Joe's statement, we know for sure that at least one ticket has won. Given the high probability of winning with DoubleDay tickets, it's likely that the other two tickets could also be winners. However, without confirmation, there's a small chance they might not be. Here's a possible distribution:
- $0 on 0 tickets winning, because we know at least one has won.
- $10 on 1 ticket winning, just to account for a small chance that the remaining two didn't win.
- $30 on 2 tickets winning, because there's a reasonable chance that one of the remaining tickets won.
- $60 on 3 tickets winning, which is the most likely scenario considering the high probability of winning with</t>
  </si>
  <si>
    <t>Response: Based on Joe's statement that he has only looked at one of the tickets, it is clear that he does not know exactly how many of the three tickets have won. He would need to check the other two tickets to know for sure.</t>
  </si>
  <si>
    <t>Based on the context, it can be assumed that all three mondrine fruits that Monica bought have dried out pith inside, since it was stated that "Mongines are small fruits that almost always have dried out pith inside."</t>
  </si>
  <si>
    <t>Based on Monica's statement, it's certain that at least 1 of the 3 fruits has dried out pith. However, given the context that mongines almost always have dried out pith, it's possible that the other 2 fruits also have dried out pith. Still, Monica's statement suggests she has inspected all 3 fruits. 
Here's how I would divide the $100:
- $0 on 0 fruits (since we know at least 1 fruit has dried out pith)
- $90 on 1 fruit (Monica's statement directly supports this)
- $5 on 2 fruits (there's a slight possibility that Monica missed something)
- $5 on 3 fruits (there's also a</t>
  </si>
  <si>
    <t>Response: Based on Monica's statement that she has looked at all 3 fruits, it is reasonable to assume that Monica knows exactly how many of the 3 fruits have dried out pith. So, yes, I believe Monica knows the exact number.</t>
  </si>
  <si>
    <t>Based on Ben's statement, I would divide the $100 as follows:
- $0 on 0 (0% confidence)
- $0 on 1 (0% confidence)
- $0 on 2 (0% confidence)
- $100 on 3 (100% confidence)
This is because Ben explicitly stated that all 3 phones have burned out transistors.</t>
  </si>
  <si>
    <t>Response: Yes, Ben knows exactly how many of the 3 phones have burned out transistors because he has inspected all of them and confirmed this information.</t>
  </si>
  <si>
    <t>Based on the context, it can be inferred that all 3 Corendula seeds have likely sprouted.</t>
  </si>
  <si>
    <t>Based on Jim's statement, we can be sure that at least 1 seed has sprouted. However, it's highly likely that the other seed he looked at has also sprouted, given the information that Corendula seeds almost always sprout within a day when put into water. Additionally, it's also likely that the third seed, which he hasn't looked at yet, has sprouted. So, if I were to divide $100 to indicate my confidence on each number, I would do it as follows:
$0 on 0 seeds sprouted.
$5 on 1 seed sprouted.
$45 on 2 seeds sprouted.
$50 on 3 seeds sprouted.</t>
  </si>
  <si>
    <t>Response: No, Jim does not know exactly how many of the 3 seeds have sprouted. He only checked 2 of the 3 seeds and confirmed that 1 of them has sprouted. He has not yet checked the third seed.</t>
  </si>
  <si>
    <t>Based on the context provided, it can be inferred that likely all 3 of Mark's introductory bio students have passing grades on the exam, as it is stated that students in this class almost always pass.</t>
  </si>
  <si>
    <t>Given the new information from Mark, we can be certain that at least one exam has passing grades, as Mark has confirmed this. The third exam Mark has not yet looked at still has a high probability of having a passing grade based on the initial context given. Here is the division of the $100:
- $0 on 0 exams having passing grades because we know at least one does.
- $10 on 1 exam having passing grades because it's possible, but unlikely, that the remaining exam does not pass.
- $40 on 2 exams having passing grades because it's possible that the remaining exam does not pass, but less likely given the context.
- $50 on 3 exams having passing grades because, based on the initial</t>
  </si>
  <si>
    <t>Response: No, Mark does not know exactly how many of the 3 exams have passing grades. He has only looked at 2 of the 3 exams so far.</t>
  </si>
  <si>
    <t>Based on Laura's statement, we know for sure that at least 1 of the 3 letters has a check inside. Given the context, it is still likely that the other 2 letters also have checks inside. However, there is now a small chance that they do not. I would therefore distribute the $100 as follows:
- $0 on 0 (we already know at least 1 letter contains a check)
- $10 on 1 (Laura has confirmed one, but it's less likely that this is the only one)
- $30 on 2 (there is a chance that one of the remaining letters does not contain a check)
- $60 on 3 (based on the context, it's still most likely</t>
  </si>
  <si>
    <t>Response: Based on Laura's statement, she has only looked at 1 of the 3 letters. Therefore, it's likely that she does not know exactly how many of the 3 letters have checks inside.</t>
  </si>
  <si>
    <t>Based on the context that tickets in the DoubleDay instant lottery almost always win, it is likely that all 3 tickets that Joe bought have won.</t>
  </si>
  <si>
    <t>Based on Joe's statement, we know for sure that at least 2 tickets have won. Given that the DoubleDay lottery tickets almost always win, it's highly likely that the third ticket has also won. Therefore, I would distribute the money as follows:
$0 on 0 tickets winning,
$0 on 1 ticket winning,
$10 on 2 tickets winning,
$90 on 3 tickets winning.</t>
  </si>
  <si>
    <t>Response: Based on Joe's statement, it seems that he has only checked 2 of the 3 tickets, so he does not yet know exactly how many of the 3 tickets have won.</t>
  </si>
  <si>
    <t>Based on the context, it can be inferred that all 3 mondrine fruits Monica bought yesterday likely have dried out pith, since it's stated that Mongines almost always have dried out pith inside.</t>
  </si>
  <si>
    <t>Based on Monica's statement, we can be sure that 2 of the 3 fruits have dried out pith. However, we don't know about the third fruit. Therefore, I would divide the $100 as follows:
0 fruits: $0 (we know for sure that at least 2 fruits have dried out pith)
1 fruit: $0 (we know for sure that at least 2 fruits have dried out pith)
2 fruits: $50 (it's possible that only 2 fruits have dried out pith)
3 fruits: $50 (given the context that Mongines almost always have dried out pith, it's possible that all 3 fruits have dried out pith)</t>
  </si>
  <si>
    <t>Response: Yes, it is likely that Monica knows exactly how many of the 3 fruits have dried out pith because she stated that she has looked at all 3 of the fruits.</t>
  </si>
  <si>
    <t>Based on the context, it is highly likely that all 3 broken Sigo phones have burned out transistors.</t>
  </si>
  <si>
    <t>Based on Ben's statement, it's clear that all 3 phones have burned out transistors. Therefore, I would bet as follows:
$0 on option 0, 
$0 on option 1, 
$0 on option 2, 
$100 on option 3.</t>
  </si>
  <si>
    <t>Response: Yes, Ben knows exactly how many of the 3 phones have burned out transistors. He has examined all 3 phones and confirmed that each one has a burned out transistor.</t>
  </si>
  <si>
    <t>Based on the context, it is likely that all 3 Corendula seeds have sprouted, since they almost always sprout within a day when put into water and it has been two days.</t>
  </si>
  <si>
    <t>Based on Jim's statement, we can be certain that 1 of the seeds has sprouted. Therefore, I would divide the $100 as follows:
- $0 on 0 seeds sprouting, since we know at least one has sprouted.
- $100 on 1 seed sprouting, because that's what Jim reported.
- $0 on 2 seeds sprouting, since Jim confirmed only one has sprouted.
- $0 on 3 seeds sprouting, since Jim confirmed only one has sprouted.</t>
  </si>
  <si>
    <t>Response: Yes, based on his statement, Jim knows exactly how many of the 3 seeds have sprouted. He said he looked at all 3 seeds and confirmed that 1 of them has sprouted.</t>
  </si>
  <si>
    <t>Based on the context, it can be inferred that all 3 of Mark's intro bio students likely have passing grades on the exam.</t>
  </si>
  <si>
    <t>Based on the speaker's statement, I would divide the $100 as follows:
- $0 on 0 exams having passing grades
- $100 on 1 exam having passing grades
- $0 on 2 exams having passing grades
- $0 on 3 exams having passing grades
This is because Mark has explicitly stated that 1 of the 3 exams has passing grades. So, we can be confident that exactly one exam has passing grades.</t>
  </si>
  <si>
    <t>Response: Yes, Mark knows exactly how many of the 3 exams have passing grades. He stated that he has looked at all 3 exams and confirmed that 1 of them has passing grades.</t>
  </si>
  <si>
    <t>Based on Laura's statement, it's certain that 2 of the 3 letters have checks inside. Therefore, I would divide the $100 as follows:
0: $0
1: $0
2: $100
3: $0</t>
  </si>
  <si>
    <t>Response: Yes, Laura knows exactly how many of the 3 letters have checks inside, because she stated that she had looked at all 3 of the letters and found checks in 2 of them.</t>
  </si>
  <si>
    <t>Based on the context that DoubleDay instant lottery tickets almost always win, it's likely that at least two or perhaps all three of Joe's tickets won.</t>
  </si>
  <si>
    <t>Based on Joe's statement, we know that at least one of the tickets has won. However, since DoubleDay instant lottery tickets almost always win, it's likely that the third ticket could also be a winner. Therefore, I would distribute the money as follows:
$0 on 0 tickets winning (since we know at least one has won)
$10 on 1 ticket winning (since one has already won but it's less likely that no more will win)
$40 on 2 tickets winning (since one has already won and it's possible the other ticket that Joe has already checked did not win)
$50 on 3 tickets winning (since the chances are high that the third ticket is also a winner)</t>
  </si>
  <si>
    <t>Response: Based on Joe's statement that he has looked at two of the three tickets and one has won, it can be inferred that Joe knows exactly how many of the two checked tickets have won. However, since he hasn't mentioned checking the third ticket yet, we cannot say for certain that Joe knows exactly how many of the three tickets have won.</t>
  </si>
  <si>
    <t>2?</t>
  </si>
  <si>
    <t>Based on the context, it's likely that all 3 of the mondrine fruits Monica bought yesterday have dried out pith.</t>
  </si>
  <si>
    <t>Based on the speaker's statement, it's clear that all 3 of the fruits have dried out pith. Therefore, I would divide the $100 as follows:
$0 on 0 fruits,
$0 on 1 fruit,
$0 on 2 fruits,
$100 on 3 fruits.</t>
  </si>
  <si>
    <t>Response: Yes, Monica knows exactly how many of the 3 fruits have dried out pith because she explicitly stated that she has examined all 3 fruits and found that all have dried out pith.</t>
  </si>
  <si>
    <t>Based on the context provided, it is highly likely that all 3 broken Sigo phones that Ben must repair have burned out transistors.</t>
  </si>
  <si>
    <t>Based on the information provided, here is a possible division of the $100:
- $0 on 0: We already know that at least one phone has burned out transistors.
- $10 on 1: There's a small chance that the other two phones don't have burned out transistors, but it's unlikely since broken Sigo phones almost always have this issue.
- $30 on 2: There's a moderate chance that one of the remaining two phones doesn't have burned out transistors.
- $60 on 3: Given the context, it's highly likely that all three phones have burned out transistors.</t>
  </si>
  <si>
    <t>Response: Based on the speaker's statement, Ben has only examined one of the three phones so far. Therefore, he does not yet know exactly how many of the three phones have burned out transistors. He would need to examine the other two phones to know for sure.</t>
  </si>
  <si>
    <t>Based on Jim's statement, we are certain that at least 2 of the seeds have sprouted. The third seed has a high likelihood of sprouting due to the context provided. Here's how I'd divide the $100:
0 seeds: $0 
1 seed: $0 
2 seeds: $5 
3 seeds: $95 
This division reflects a high level of confidence that all 3 seeds have sprouted, but leaves a small amount on the possibility that the third seed has not sprouted.</t>
  </si>
  <si>
    <t>Response: Based on his statement, Jim has only confirmed sprouting of 2 seeds and has not checked the third one yet. Therefore, he does not know exactly how many of the 3 seeds have sprouted.</t>
  </si>
  <si>
    <t>Based on the context, it is likely that all three of Mark's intro bio students have passing grades on their exam.</t>
  </si>
  <si>
    <t>Based on the original context and Mark's statement, it can be inferred that at least one exam has a passing grade. However, we don't know the grades of the other two exams yet. Considering the context that students in the introductory bio class almost always have passing grades, the likelihood of the other two students also passing is high. Therefore, I would divide the $100 as follows:
- $0 on 0 exams having passing grades, because we already know that at least one exam has a passing grade.
- $10 on 1 exam having passing grades, since we know one student has passed but there's a small chance the other two students may not have.
- $30 on 2 exams having passing grades, because it's possible</t>
  </si>
  <si>
    <t>Response: Based on the information given, it seems that Mark only knows the grade of one exam so far. Therefore, it can be inferred that Mark does not yet know exactly how many of the 3 exams have passing grades.</t>
  </si>
  <si>
    <t>Based on the context, it can be inferred that all 3 letters Laura received might have checks inside given that letters to Laura's company almost always include checks.</t>
  </si>
  <si>
    <t>Based on Laura's statement, I would be very confident that only 1 of the 3 letters has checks inside. So, I would divide the $100 as follows: 
$0 on 0, $100 on 1, $0 on 2, $0 on 3.</t>
  </si>
  <si>
    <t>Response: Yes, Laura knows exactly how many of the 3 letters have checks inside, as she stated that she has looked at all 3 letters and found that only 1 of them contains a check.</t>
  </si>
  <si>
    <t>Based on the context that tickets in the DoubleDay instant lottery almost always win, it can be inferred that most likely all 3 tickets that Joe bought have won.</t>
  </si>
  <si>
    <t>Based on Joe's statement that he has looked at all 3 tickets and all 3 have won, we can be almost certain that all 3 tickets have won. Therefore, I would divide the $100 as follows: 
- $0 on 0 tickets winning
- $0 on 1 ticket winning
- $0 on 2 tickets winning
- $100 on 3 tickets winning</t>
  </si>
  <si>
    <t>Response: Yes, based on his statement, it is clear that Joe knows exactly how many of the 3 tickets have won.</t>
  </si>
  <si>
    <t>Based on the context, it can be inferred that all 3 mondrine fruits Monica bought might have dried out pith inside, as it is stated that mondrine fruits almost always have dried out pith.</t>
  </si>
  <si>
    <t>Based on Monica's statement, I would divide the $100 as follows:
- $0 on 0 fruits
- $0 on 1 fruit 
- $100 on 2 fruits
- $0 on 3 fruits 
This is because Monica has confirmed that 2 out of the 3 fruits have dried out pith.</t>
  </si>
  <si>
    <t>Response: Yes, Monica knows exactly how many of the 3 fruits have dried out pith because she has checked all 3 fruits and confirmed that 2 of them have dried out pith.</t>
  </si>
  <si>
    <t>Based on the context provided, it can be assumed that all 3 of the broken Sigo phones that Ben must repair have burned out transistors.</t>
  </si>
  <si>
    <t>Based on the new information provided by Ben, my confidence on each number would be distributed as follows:
$0 on 0: It's already confirmed that at least 1 phone has burned out transistors.
$10 on 1: Ben has confirmed that one of the phones he looked at has burned out transistors. However, given the context that broken Sigo phones almost always have burned out transistors, it's less likely that only this one phone is affected.
$50 on 2: Ben has looked at two phones and confirmed that one of them has a burned-out transistor. The second phone he examined may not have this problem, but the third phone he has yet to examine might, given the previous context.
$</t>
  </si>
  <si>
    <t>Response: No, Ben does not know exactly how many of the 3 phones have burned out transistors. He has only examined 2 of the 3 phones so far. He won't know the condition of the third phone until he examines it.</t>
  </si>
  <si>
    <t>Based on the context and Jim's statement, we can make the following bets:
$0 on 0 sprouted - Jim has already confirmed that at least 2 have sprouted.
$0 on 1 sprouted - Again, Jim has confirmed that at least 2 have sprouted.
$10 on 2 sprouted - There is a small chance that the last seed didn't sprout.
$90 on 3 sprouted - Given the information that Corendula seeds almost always sprout within a day when put into water and two days have passed, it is highly likely that all 3 seeds have sprouted.</t>
  </si>
  <si>
    <t>Response: No, Jim does not know exactly how many of the 3 seeds have sprouted because he only looked at 2 of the 3 seeds.</t>
  </si>
  <si>
    <t>Given the context that students in the introductory bio class almost always have passing grades on the exam, it would be reasonable to expect that all three of Mark's intro bio students achieved passing grades on their exam.</t>
  </si>
  <si>
    <t>Given the new information provided by Mark, we can make the following assumptions:
1. One of the two checked exams already has a passing grade.
2. The other checked exam has not been explicitly mentioned, so it may or may not have a passing grade.
3. The remaining exam hasn't been checked. Given the initial context, it is likely to have a passing grade.
Therefore, I would divide the $100 as follows:
- $0 on 0 exams having passing grades, because we already know at least one does.
- $10 on 1 exam having passing grades, because it's possible that the other two failed, but it's unlikely given the context.
- $40 on 2 exams having passing grades, because the un</t>
  </si>
  <si>
    <t>Response: No, Mark does not know exactly how many of the 3 exams have passing grades, because he mentioned that he has only looked at 2 of the 3 exams.</t>
  </si>
  <si>
    <t>Based on the context, it can be inferred that all 3 letters Laura received today might have checks inside, as it's mentioned that letters to Laura's company almost always have checks inside.</t>
  </si>
  <si>
    <t>Based on Laura's statement, we already know that 2 of the 3 letters have checks inside. The third letter might also have a check inside, given that letters to Laura's company almost always do. Therefore, my bets would be divided as follows:
$0 on 0 (we already know at least 2 checks are present)
$0 on 1 (we already know at least 2 checks are present)
$10 on 2 (there is a small chance that the third letter does not contain a check)
$90 on 3 (given the context, it is highly likely the third letter also contains a check)</t>
  </si>
  <si>
    <t>Response: No, Laura does not know exactly how many of the 3 letters have checks inside. She has only looked at 2 of the 3 letters so far, according to her statement.</t>
  </si>
  <si>
    <t>Based on the context that DoubleDay instant lottery tickets almost always win, it could be inferred that probably all 3 tickets that Joe bought have won.</t>
  </si>
  <si>
    <t>Based on Joe's statement, it's certain that 2 of the 3 tickets have won. Therefore, I would divide the $100 as follows:
0 tickets: $0
1 ticket: $0
2 tickets: $100
3 tickets: $0</t>
  </si>
  <si>
    <t>Based on the given context, it can be inferred that all 3 mondrine fruits Monica bought might have dried out pith inside, as it is stated that Mongines almost always have dried out pith.</t>
  </si>
  <si>
    <t>Based on Monica's statement, it can be confidently said that all 3 mondrine fruits have dried out pith. So, I would divide the money as follows:
$0 on 0 fruits,
$0 on 1 fruit,
$0 on 2 fruits,
$100 on 3 fruits.</t>
  </si>
  <si>
    <t>Response: Yes, Monica knows exactly how many of the 3 fruits have dried out pith because she personally examined all 3 fruits and confirmed that they all have dried out pith.</t>
  </si>
  <si>
    <t>While the context suggests that broken Sigo phones "almost always" have burned out transistors, it doesn't guarantee that all broken Sigo phones have this issue. Therefore, it's likely but not certain that all 3 phones Ben needs to repair have burned out transistors.</t>
  </si>
  <si>
    <t>Given Ben's statement, we know with certainty that 1 of the 3 phones has burned out transistors. So, I would distribute the $100 as follows:
0 phones: $0
1 phone: $100
2 phones: $0
3 phones: $0
This distribution reflects the certainty that exactly 1 phone has burned out transistors, based on Ben's statement.</t>
  </si>
  <si>
    <t>Response: Based on Ben's statement, it seems that he does know exactly how many of the 3 phones have burned out transistors. He has looked at all 3 phones and confirmed that 1 of them has this issue. So, yes, I believe Ben knows exactly how many of the phones have burned out transistors.</t>
  </si>
  <si>
    <t>Based on the context and Jim's statement, I would divide the $100 in the following way:
$0 on 0 seeds sprouted, 
$0 on 1 seed sprouted (since at least one has sprouted),
$20 on 2 seeds sprouted, 
$80 on 3 seeds sprouted.
This is because Corendula seeds almost always sprout within a day when put into water, and it has been two days since 3 seeds were put in water. Although Jim only checked 1 seed and confirmed it sprouted, the high probability of sprouting leads to the confidence that the remaining seeds have also sprouted.</t>
  </si>
  <si>
    <t>Response: Based on the speaker's statement, it seems that Jim does not know exactly how many of the 3 seeds have sprouted. He only mentioned that he has looked at 1 of the 3 seeds and that 1 has sprouted. There is no indication that he checked the other 2 seeds.</t>
  </si>
  <si>
    <t>Based on the context provided, it can be inferred that probably all 3 of Mark's intro bio students have passing grades on the exam. However, without specific information on the students' performance, it's not possible to provide a definite answer.</t>
  </si>
  <si>
    <t>Based on Mark's statement, it's clear that all 3 of the exams have passing grades. Therefore, I would divide the $100 as follows:
- $0 on 0 exams passing
- $0 on 1 exam passing
- $0 on 2 exams passing
- $100 on 3 exams passing
This distribution indicates full confidence that all 3 exams have passing grades.</t>
  </si>
  <si>
    <t>Response: Yes, Mark knows exactly how many of the 3 exams have passing grades. This is based on his statement where he specifies that he has looked at all 3 exams and confirms that all 3 of them have passing grades.</t>
  </si>
  <si>
    <t>Based on the new information from Laura, we can distribute the money as follows:
$0 on 0 (since she already found checks in 2 letters, it can't be 0),
$0 on 1 (since she already found checks in 2 letters, it can't be 1),
$20 on 2 (since she has already found checks in 2 letters),
$80 on 3 (since most letters to Laura's company have checks, it is highly probable that the third letter also contains a check).</t>
  </si>
  <si>
    <t>Response: No, Laura does not know exactly how many of the 3 letters have checks inside. She has only looked at 2 of the 3 letters.</t>
  </si>
  <si>
    <t>Given the context that tickets in the DoubleDay instant lottery almost always win, it is likely that all 3 of Joe's tickets have won.</t>
  </si>
  <si>
    <t>Response: Since Joe has confirmed that 1 of the 3 tickets has won, it is certain that 1 ticket has won. 
Here is how I would divide the $100: 
- $0 on 0 winning tickets because Joe confirmed at least one ticket won
- $100 on 1 winning ticket because Joe confirmed this
- $0 on 2 winning tickets because Joe checked all tickets and only one won
- $0 on 3 winning tickets because Joe checked all tickets and only one won</t>
  </si>
  <si>
    <t>Based on the context provided, it can be inferred that all 3 mondrine fruits Monica bought likely have dried out pith inside, as it's stated that this is almost always the case with these fruits.</t>
  </si>
  <si>
    <t>Based on Monica's statement, it's clear that 2 of the 3 fruits have dried out pith. Therefore, I would bet as follows:
$0 on option 0 (none of the fruits have dried out pith),
$0 on option 1 (only one of the fruits have dried out pith),
$100 on option 2 (two of the fruits have dried out pith),
$0 on option 3 (all of the fruits have dried out pith).
This distribution indicates a full confidence that 2 out of the 3 fruits have dried out pith.</t>
  </si>
  <si>
    <t>Response: Yes, Monica knows exactly how many of the 3 fruits have dried out pith. This is confirmed by her statement that she has looked at all 3 fruits and determined that 2 of them have dried out pith.</t>
  </si>
  <si>
    <t>Based on the context, it is highly likely that all 3 broken Sigo phones Ben needs to repair have burned out transistors.</t>
  </si>
  <si>
    <t>Based on Ben's statement, at least 1 phone has burned out transistors. Since the context mentions that broken Sigo phones almost always have burned out transistors, it is still highly likely that the third phone which Ben hasn't checked yet also has this issue. 
So, I would divide the $100 as follows: 
- 0 phones: $0
- 1 phone: $0
- 2 phones: $20
- 3 phones: $80</t>
  </si>
  <si>
    <t>Response: Based on Ben's statement, he has checked 2 of the 3 phones and confirmed that 1 of them has burned out transistors. However, he didn't mention the result of the other phone he checked, and he hasn't checked the third phone yet. Therefore, Ben does not know exactly how many of the 3 phones have burned out transistors.</t>
  </si>
  <si>
    <t>Given the information that Corendula seeds almost always sprout within a day when put in water, it is highly likely that all 3 seeds that Jim put in water two days ago have sprouted.</t>
  </si>
  <si>
    <t>Based on Jim's statement, we can be certain that at least one seed has sprouted. However, given the information that Corendula seeds almost always sprout within a day when put in water, it is still highly likely that the other two seeds also sprouted. Thus, I would divide the $100 as follows:
- $0 on 0 seeds sprouting, because we know at least one has sprouted.
- $0 on 1 seed sprouting, because Jim has confirmed one has sprouted and it's highly likely the others have too, given the nature of Corendula seeds.
- $25 on 2 seeds sprouting, as it's possible, though less likely, that one of the remaining seeds didn't</t>
  </si>
  <si>
    <t>Response: Based on Jim's statement, it is unclear if he knows exactly how many of the 3 seeds have sprouted. He has confirmed that he looked at 1 seed and it sprouted, but he did not mention if he checked the other two seeds. Therefore, we cannot say for certain that Jim knows exactly how many of the 3 seeds have sprouted.</t>
  </si>
  <si>
    <t>25?</t>
  </si>
  <si>
    <t>Uncertain N</t>
  </si>
  <si>
    <t>Based on the context provided, it is reasonable to assume that all 3 of Mark's intro bio students likely have passing grades on the exam.</t>
  </si>
  <si>
    <t>Based on Mark's statement, we know for sure that at least 1 of the 3 exams has a passing grade. Considering the context that students in the introductory bio class almost always have passing grades, it is still reasonable to assume that the other 2 exams likely have passing grades as well. Therefore, I would divide the $100 as follows:
- $0 on 0 exams having passing grades (since we know at least 1 exam has a passing grade)
- $10 on 1 exam having a passing grade (to account for the possibility that the other 2 students did not pass, though this is less likely given the context)
- $30 on 2 exams having passing grades (since there's a chance that 1</t>
  </si>
  <si>
    <t>Response: Based on Mark's statement, it seems that he has only looked at 1 of the 3 exams. Therefore, it is unlikely that Mark knows exactly how many of the 3 exams have passing grades at this point.</t>
  </si>
  <si>
    <t>Based on Laura's statement, it is confirmed that all 3 letters include checks. Therefore, I would distribute the $100 as follows:
- $0 on option 0, indicating no confidence that none of the letters have checks inside.
- $0 on option 1, indicating no confidence that only one of the letters has a check inside.
- $0 on option 2, indicating no confidence that only two of the letters have checks inside.
- $100 on option 3, indicating full confidence that all three letters have checks inside.</t>
  </si>
  <si>
    <t>Response: Yes, Laura knows exactly how many of the 3 letters have checks inside because she stated that she looked at all 3 letters and confirmed that all of them have checks inside.</t>
  </si>
  <si>
    <t>Based on the context provided, it is highly likely that all 3 tickets that Joe bought have won.</t>
  </si>
  <si>
    <t>Based on Joe's statement, it's certain that 2 of the tickets have won. We can't be sure about the third ticket as Joe didn't mention it, but given that DoubleDay tickets almost always win, it's highly probable that the third ticket is also a winner. Therefore, 
$0 on 0 wins,
$0 on 1 win,
$10 on 2 wins,
$90 on 3 wins. 
This allocation reflects a high level of confidence that the third ticket will also be a winner, with a small uncertainty that it might not.</t>
  </si>
  <si>
    <t>Response: Based on the information provided, it is not certain whether Joe knows exactly how many of the 3 tickets have won. He has only mentioned checking 2 out of the 3 tickets. Therefore, unless he has checked the third one, he might not know the result for all tickets.</t>
  </si>
  <si>
    <t>Based on the context, it can be inferred that all 3 mondrine fruits Monica bought likely have dried out pith, as it is stated that mondrines almost always have dried out pith inside.</t>
  </si>
  <si>
    <t>Based on Monica's statement, we know for certain that one of the fruits has dried out pith. However, since mondrines almost always have dried out pith, it is still quite likely that the remaining unchecked fruit also has dried out pith. 
Considering these factors, I might divide the $100 as follows:
- 0 fruits: $0 (since we know at least one fruit has dried out pith)
- 1 fruit: $10 (since we know at least one fruit has dried out pith, but it's less likely that only one does)
- 2 fruits: $40 (since we know one of the checked fruits has dried out pith, and it's somewhat likely that the second checked fruit</t>
  </si>
  <si>
    <t>Response: No, Monica does not know exactly how many of the 3 fruits have dried out pith. This is inferred from her statement that she has only looked at 2 of the 3 fruits, which implies that the third fruit has not yet been checked for dried out pith.</t>
  </si>
  <si>
    <t>While the context suggests that broken Sigo phones almost always have burned out transistors, it does not provide specific probabilities or absolute certainty. Therefore, an exact number cannot be stated. However, based on the context, it is likely that most, if not all, of the 3 broken Sigo phones that Ben must repair have burned out transistors.</t>
  </si>
  <si>
    <t>Based on Ben's statement, we can confidently determine that 1 of the 3 phones has burned out transistors. Therefore, the distribution of the $100 among the options would be:
$0 on 0, $100 on 1, $0 on 2, $0 on 3.</t>
  </si>
  <si>
    <t>Response: Yes, based on the context, it can be inferred that Ben knows exactly how many of the 3 phones have burned out transistors because he has stated that he has looked at all 3 phones and found that 1 of them has burned out transistors.</t>
  </si>
  <si>
    <t>Based on the context, it can be inferred that all 3 Corendula seeds have sprouted, as Corendula seeds almost always sprout within a day when put into water and it has been two days since they were put in water.</t>
  </si>
  <si>
    <t>Based on Jim's statement, 2 of the 3 seeds have sprouted. Therefore, I would divide the $100 as follows:
- $0 on 0 seeds sprouting
- $0 on 1 seed sprouting
- $100 on 2 seeds sprouting
- $0 on 3 seeds sprouting</t>
  </si>
  <si>
    <t>Response: Yes, Jim knows exactly how many of the 3 seeds have sprouted because he stated that he had looked at all 3 seeds and reported that 2 of them have sprouted.</t>
  </si>
  <si>
    <t>Based on the context, it's likely that all three of Mark's intro bio students have passing grades on the exam.</t>
  </si>
  <si>
    <t>Based on Mark's statement, I would divide the $100 as follows:
$0 on 0 exams,
$0 on 1 exam,
$100 on 2 exams,
$0 on 3 exams. 
This is because Mark has clearly stated that 2 of the 3 exams have passing grades.</t>
  </si>
  <si>
    <t>Response: Yes, Mark knows exactly how many of the 3 exams have passing grades because he stated that he has looked at all of the exams.</t>
  </si>
  <si>
    <t>Response: Given that Laura confirmed one letter contains a check, and given the usual pattern of checks being in the letters, I would divide the money as follows:
- $0 on 0, because we know at least one letter has a check.
- $5 on 1, because it's possible, but unlikely, that the other two letters don't have checks.
- $35 on 2, because there's a reasonable chance that one of the remaining two letters doesn't have a check.
- $60 on 3, because based on the pattern, it's most likely that all the letters have checks.</t>
  </si>
  <si>
    <t>Response: Based on Laura's statement, she has only looked at 1 of the 3 letters. Therefore, she does not know exactly how many of the 3 letters have checks inside.</t>
  </si>
  <si>
    <t>Based on Joe's statement, it's clear that only 1 of the 3 tickets has won. Therefore, I would divide the $100 as follows: 0 - $0, 1 - $100, 2 - $0, 3 - $0. This suggests full confidence that only 1 ticket has won.</t>
  </si>
  <si>
    <t>Based on the context, it can be inferred that all 3 mondrine fruits Monica bought likely have dried out pith inside, as it was stated that "Mongines are small fruits that almost always have dried out pith inside."</t>
  </si>
  <si>
    <t>Considering the new information from Monica, we can now be certain that at least 1 of the fruits has dried out pith. It is also likely that the third fruit, which Monica has not looked at yet, also has dried out pith given the previous context that Mongines almost always have dried out pith. However, there is still some uncertainty. Therefore, I would assign the following bets:
- $0 on 0 fruits (since we know at least 1 fruit has dried out pith)
- $10 on 1 fruit (just in case the third fruit does not have dried out pith)
- $30 on 2 fruits (there is a chance that the first two fruits Monica looked at are the only ones with</t>
  </si>
  <si>
    <t>Response: No, Monica does not know exactly how many of the 3 fruits have dried out pith. She has only checked 2 of the 3 fruits, so she is uncertain about the condition of the third fruit.</t>
  </si>
  <si>
    <t>Given the context, it's likely that all 3 broken Sigo phones that Ben needs to repair have burned out transistors.</t>
  </si>
  <si>
    <t>Response: Based on Ben's statement, we know for certain that at least 2 of the 3 phones have burned out transistors. It's also likely, given the initial context, that the third phone also has a burned out transistor, but without confirmation from Ben we cannot be certain. 
So, a possible division of the $100 might be: 
0: $0 
1: $0 
2: $20
3: $80
This division indicates a high confidence that all 3 phones have burned out transistors, but also allows for the possibility that only 2 do.</t>
  </si>
  <si>
    <t>Response: Based on Ben's statement, he has so far examined 2 of the 3 phones and both had burned out transistors. Therefore, Ben knows that at least 2 of the phones have burned out transistors. However, since he hasn't mentioned examining the third phone yet, it's not certain whether he knows if the third phone also has a burned out transistor. So, at this point, Ben likely does not know exactly how many of the 3 phones have burned out transistors.</t>
  </si>
  <si>
    <t>Based on Jim's statement, it is certain that all 3 seeds have sprouted. Therefore, I would divide the money as follows:
$0 on 0 seeds sprouted
$0 on 1 seed sprouted
$0 on 2 seeds sprouted
$100 on 3 seeds sprouted</t>
  </si>
  <si>
    <t>Response: Yes, based on his statement, it is certain that Jim knows exactly how many of the 3 seeds have sprouted.</t>
  </si>
  <si>
    <t>Based on the context, it can be inferred that all 3 of Mark's intro bio students likely have passing grades on their exams, as it's stated that students in this class almost always pass the exam.</t>
  </si>
  <si>
    <t>Based on the new information from Mark, one exam has already been confirmed to have a passing grade. Given the context that students in the intro bio class almost always have passing grades, it is likely that the remaining two also have passing grades. However, since we don't have definite information about the remaining two, we can't be as confident as in the first case.
Here is how I would divide the $100:
$0 on 0 exams passing
$5 on 1 exam passing (just to account for the small chance that the other two didn't pass)
$35 on 2 exams passing (since it's possible one of the remaining students didn't pass)
$60 on 3 exams passing (most probable based on the context</t>
  </si>
  <si>
    <t>Response: Based on Mark's statement, it can be inferred that he does not yet know exactly how many of the 3 exams have passing grades. He has only mentioned that he has looked at 1 of the 3 exams and that this particular exam has a passing grade. He has not provided information about the remaining 2 exams, suggesting that he might not have reviewed them yet. Therefore, it can be stated with certainty that Mark does not know exactly how many of the 3 exams have passing grades at this moment.</t>
  </si>
  <si>
    <t>Based on Laura's statement, it is now certain that only 1 of the 3 letters has checks inside.
So, I would divide $100 as follows:
- $0 on 0
- $100 on 1
- $0 on 2
- $0 on 3</t>
  </si>
  <si>
    <t>Response: Based on Laura's statement, it is evident that she knows exactly how many of the 3 letters have checks inside. She has checked all the letters and stated that only 1 of them contains a check. So, yes, Laura knows exactly how many of the 3 letters have checks inside.</t>
  </si>
  <si>
    <t>Based on the context, it can be inferred that probably all 3 of Joe's DoubleDay tickets have won because tickets in the DoubleDay instant lottery almost always win.</t>
  </si>
  <si>
    <t>Based on Joe's statement, we know for sure that at least one ticket has won. Given the context that tickets in the DoubleDay instant lottery almost always win, it is likely that the remaining ticket also has a high chance of winning. 
So, my confidence distribution would be:
- $0 on 0 (since we know at least one has won)
- $10 on 1 (since there's a small chance the remaining ticket didn't win)
- $20 on 2 (since one of the tickets has already won and there's a good chance the remaining ticket will win)
- $70 on 3 (since most DoubleDay tickets win, it's most likely all three of Joe's tickets did)</t>
  </si>
  <si>
    <t>Response: No, Joe does not know exactly how many of the 3 tickets have won. According to his statement, he has only looked at 2 of the 3 tickets, so he does not yet know the outcome of the third ticket.</t>
  </si>
  <si>
    <t>Based on the context provided, it is likely that all 3 fruits Monica bought have dried out pith, as it is mentioned that mongines almost always have dried out pith inside.</t>
  </si>
  <si>
    <t>Given the new statement from Monica, it's confirmed that at least 2 of the 3 fruits have dried out pith. We don't have information about the third fruit yet, but as stated earlier, mongines almost always have dried out pith. Therefore, the likelihood of the third fruit also having dried out pith is high. 
So, I would distribute the $100 as follows: 
$0 on option 0 (since at least 2 fruits have dried out pith, this option is impossible), 
$0 on option 1 (since at least 2 fruits have dried out pith, this option is also impossible), 
$20 on option 2 (to account for the small possibility that the last fruit</t>
  </si>
  <si>
    <t>Response: Based on the information provided, Monica has only examined 2 of the 3 fruits and confirmed that they have dried out pith. She has not mentioned the state of the third fruit. Therefore, it is reasonable to infer that Monica does not know exactly how many of the 3 fruits have dried out pith.</t>
  </si>
  <si>
    <t>Given the context that "Broken Sigo phones almost always have burned out transistors," it can be inferred that it is highly likely that all 3 phones Ben must repair have burned out transistors. However, without more specific data, it's not possible to state an exact number with certainty.</t>
  </si>
  <si>
    <t>Given Ben's statement that he has examined all three phones and found that all of them have burned out transistors, we can now confidently state that all three phones have this problem. Therefore, I would allocate the $100 as follows:
$0 on 0 phones,
$0 on 1 phone,
$0 on 2 phones,
$100 on 3 phones.</t>
  </si>
  <si>
    <t>Response: Yes, based on his statement, Ben does know exactly how many of the 3 phones have burned out transistors. He has confirmed that all 3 phones exhibit this problem.</t>
  </si>
  <si>
    <t>Given the context that Corendula seeds almost always sprout within a day when put into water, it would be reasonable to infer that all 3 seeds that botanist Jim put into water two days ago have sprouted.</t>
  </si>
  <si>
    <t>Given the speaker's statement, the inference can be made that 2 of the 3 seeds have sprouted. Therefore, I would divide the $100 as follows:
- $0 on 0 seeds sprouting
- $0 on 1 seed sprouting
- $100 on 2 seeds sprouting
- $0 on 3 seeds sprouting</t>
  </si>
  <si>
    <t>Response: Yes, since Jim has stated that he has looked at all 3 seeds and observed that 2 of them have sprouted, it can be inferred that he knows exactly how many of the 3 seeds have sprouted.</t>
  </si>
  <si>
    <t>Based on the context, it can be expected that all three of Mark's intro bio students would have passing grades on the exam, since students in this class almost always pass.</t>
  </si>
  <si>
    <t>Based on Mark's statement, you can be fully confident that all three exams have passing grades. Therefore, I would advise allocating the full $100 to the option of 3 exams having passing grades, like so:
- 0 exams with passing grades: $0
- 1 exam with passing grades: $0
- 2 exams with passing grades: $0
- 3 exams with passing grades: $100</t>
  </si>
  <si>
    <t>Response: Based on Mark's statement, it is certain that he knows exactly how many of the three exams have passing grades. He has looked at all three exams and confirmed that all of them have passing grades.</t>
  </si>
  <si>
    <t>Given the context that letters to Laura's company almost always have checks inside, it's reasonable to assume that all 3 letters Laura received today likely contain checks.</t>
  </si>
  <si>
    <t>Given the new information from Laura, we know that at least 1 of the letters has checks inside. We also know that 1 of the 2 letters Laura opened does not have checks. Since letters to Laura's company almost always have checks inside, it's likely that the remaining unopened letter contains a check. Therefore, it's reasonable to assume that 2 of the letters have checks inside. However, there is a small chance that the remaining letter does not contain a check. 
Given the probabilities, I would divide the $100 as follows:
- $0 on 0 letters containing checks (since we know at least one letter has checks)
- $5 on 1 letter containing checks (small chance that the third letter doesn't</t>
  </si>
  <si>
    <t>Response: Based on the information provided, Laura does not know exactly how many of the 3 letters have checks inside. She has only looked at 2 of the 3 letters so far, so she cannot be certain about the contents of the third letter.</t>
  </si>
  <si>
    <t>Based on the context that DoubleDay instant lottery tickets almost always win, it is highly likely that all 3 tickets that Joe bought have won.</t>
  </si>
  <si>
    <t>Based on Joe's statement, we can be confident that 2 of the 3 tickets have won. Therefore, it's reasonable to distribute the money as follows:
$0 on option 0, $0 on option 1, $100 on option 2, and $0 on option 3. This allocation reflects a high level of confidence that exactly 2 tickets have won, based on the information provided by Joe.</t>
  </si>
  <si>
    <t>Response: Yes, based on his statement, it is clear that Joe knows exactly how many of the 3 tickets have won. He has checked all 3 tickets and confirmed that 2 of them have won.</t>
  </si>
  <si>
    <t>Based on the context, it's likely that all 3 mondrine fruits Monica bought have dried out pith, as it was stated that mongrines almost always have dried pith inside.</t>
  </si>
  <si>
    <t>Based on the new information provided by Monica, we know that at least one fruit has dried out pith. However, we also know from the context that mongrines almost always have dried out pith. Therefore, it's highly likely that the remaining two also have dried out pith, but there's a small chance they might not. My division of the $100 would reflect this.
$0 on 0 fruits
$5 on 1 fruit
$15 on 2 fruits
$80 on 3 fruits</t>
  </si>
  <si>
    <t>Response: Based on Monica's statement, she only examined one fruit and found it to have dried out pith. Therefore, it's likely that she doesn't know exactly how many of the 3 fruits have dried out pith, unless she has checked the others as well.</t>
  </si>
  <si>
    <t>Based on the context, it is highly likely that all 3 of the broken Sigo phones have burned out transistors.</t>
  </si>
  <si>
    <t>Based on Ben's statement, I am confident that 1 of the 3 phones has burned out transistors. Therefore, I'd divide the $100 as follows:
- $0 on 0 phones
- $100 on 1 phone
- $0 on 2 phones
- $0 on 3 phones</t>
  </si>
  <si>
    <t>Response: Yes, based on his statement, it appears that Ben knows exactly how many of the 3 phones have burned out transistors. He stated that he has looked at all 3 phones and found that 1 of them has burned out transistors.</t>
  </si>
  <si>
    <t>Based on the context, it's highly likely that all 3 Corendula seeds have sprouted.</t>
  </si>
  <si>
    <t>$0 on 0, $0 on 1, $20 on 2, $80 on 3. 
The statement tells us that 2 seeds have definitely sprouted. However, it's unclear whether the third seed has sprouted or not. Given the information that Corendula seeds almost always sprout within a day when put into water, the probability is high that the third seed has also sprouted. Therefore, I allocate the majority of the bet ($80) on option 3. However, there's a small chance that the third seed hasn't sprouted, so I allocate a smaller amount ($20) on option 2. I allocate nothing on options 0 and 1 because we know for sure that at</t>
  </si>
  <si>
    <t>Response: Based on his statement, it's likely that Jim does not know exactly how many of the 3 seeds have sprouted. He has only looked at 2 of the 3 seeds, so he may not have information on the status of the third seed.</t>
  </si>
  <si>
    <t>Based on Mark's statement, I would divide the $100 as follows:
- $0 on 0 exams with passing grades.
- $0 on 1 exam with passing grades.
- $20 on 2 exams with passing grades.
- $80 on 3 exams with passing grades.
This is because Mark has already confirmed that two of the exams have passing grades, so there's no chance that there are 0 or 1 passing grades. The remaining money is divided between 2 and 3 based on the initial context that students in the introductory bio class almost always have passing grades. So, it's more likely that the third exam also has a passing grade, but there is still a small chance that it does not.</t>
  </si>
  <si>
    <t>Response: No, Mark does not know exactly how many of the 3 exams have passing grades. He has only looked at and graded 2 of the 3 exams, so he has yet to determine the grade for the third exam.</t>
  </si>
  <si>
    <t>Given the new information provided by Laura, I would now place:
$0 on 0,
$100 on 1,
$0 on 2,
$0 on 3. 
This is because Laura has confirmed that only 1 of the 3 letters has a check inside.</t>
  </si>
  <si>
    <t>Response: Yes, Laura knows exactly how many of the 3 letters have checks inside, as she stated that she has looked at all 3 and found that only 1 of them contains a check.</t>
  </si>
  <si>
    <t>Based on the context provided, it's highly likely that all three of Joe's DoubleDay lottery tickets have won, since tickets in this lottery almost always win.</t>
  </si>
  <si>
    <t>Based on the information provided, Joe has confirmed that one of the three tickets has won. Given that tickets in the DoubleDay lottery almost always win, it's likely that the remaining two tickets have also won. 
Here's how I would divide the $100 among the options considering the high probability of winning:
- 0 tickets: $0
- 1 ticket: $5 (This is just to account for the small chance that the remaining two tickets didn't win, although it's highly unlikely.)
- 2 tickets: $25 (In case one of the remaining tickets didn't win.)
- 3 tickets: $70 (Most likely scenario based on the information provided.)</t>
  </si>
  <si>
    <t>Response: Based on the speaker's statement, Joe has only looked at one of the three tickets and confirmed that it has won. Unless he has looked at the other two tickets as well, he would not know exactly how many of the three tickets have won. So, it's likely that Joe does not know exactly how many of the three tickets have won at this point.</t>
  </si>
  <si>
    <t>Since the context states that Mongines almost always have dried out pith inside, it's likely that all 3 of the mondrine fruits Monica bought yesterday have dried out pith.</t>
  </si>
  <si>
    <t>Based on Monica's statement that all 3 fruits have dried out pith, I would assign the following:
$0 on 0 fruits have dried out pith,
$0 on 1 fruit has dried out pith,
$0 on 2 fruits have dried out pith,
$100 on 3 fruits have dried out pith.
This is because Monica's statement provides a reliable first-hand account, allowing us to confidently bet all our money on the fact that all three fruits have dried out pith.</t>
  </si>
  <si>
    <t>Response: Yes, Monica knows exactly how many of the 3 fruits have dried out pith. This is because she personally examined all of the fruits and reported her findings.</t>
  </si>
  <si>
    <t>Based on Ben's statement, I am confident that 2 out of the 3 phones have burned out transistors. Therefore, I would distribute the money as follows:
- $0 on 0 
- $0 on 1
- $100 on 2
- $0 on 3
This is because Ben explicitly stated that 2 phones have burned out transistors.</t>
  </si>
  <si>
    <t>Response: Yes, I believe Ben knows exactly how many of the 3 phones have burned out transistors because he personally inspected all of them and told us that 2 of the phones have this specific problem.</t>
  </si>
  <si>
    <t>Based on the context given, it would be reasonable to assume that all 3 Corendula seeds have sprouted, as they typically sprout within a day when put into water.</t>
  </si>
  <si>
    <t>Based on the new information, it is known that at least 1 of the 3 seeds has sprouted. Considering the typical sprouting time of Corendula seeds, it is highly likely that the remaining seed that Jim has not yet looked at has also sprouted. Therefore, I would divide the $100 as follows:
0 sprouted: $0
1 sprouted: $0
2 sprouted: $30
3 sprouted: $70
This distribution indicates a higher confidence that all 3 seeds have sprouted, but still allows for the possibility that one of the seeds has not sprouted.</t>
  </si>
  <si>
    <t>Response: No, Jim does not know exactly how many of the 3 seeds have sprouted. This is because he has only looked at 2 of the 3 seeds, and so does not have information on the third seed.</t>
  </si>
  <si>
    <t>Based on the context, it's highly likely that all three of Mark's intro bio students have passing grades on their exam.</t>
  </si>
  <si>
    <t>Based on Mark's statement, I would distribute the $100 as follows:
- $0 on 0 exams with passing grades
- $0 on 1 exam with passing grades
- $50 on 2 exams with passing grades
- $50 on 3 exams with passing grades
This is because Mark has confirmed that at least 2 of the exams have passing grades. However, it's also possible that the third (unseen) exam has a passing grade, given the context that students in the introductory bio class almost always pass. So, I would distribute the betting amount evenly between these two possibilities.</t>
  </si>
  <si>
    <t>Response: No, Mark does not know exactly how many of the 3 exams have passing grades. This is because he stated that he has only looked at 2 of the 3 exams, so he cannot definitively know the grade of the third exam.</t>
  </si>
  <si>
    <t>Based on the context, it's probable that all 3 letters Laura received today have checks inside.</t>
  </si>
  <si>
    <t>Based on Laura's statement, it's clear that all 3 letters she received have checks inside. Therefore, I would divide the $100 as follows: 
- $0 on 0 letters 
- $0 on 1 letter 
- $0 on 2 letters 
- $100 on 3 letters</t>
  </si>
  <si>
    <t>Response: Yes, Laura knows exactly how many of the 3 letters have checks inside because she stated that she has looked at all 3 letters and confirmed that they all have checks inside.</t>
  </si>
  <si>
    <t>Based on the context, it is highly likely that all three of the tickets Joe bought have won, since DoubleDay instant lottery tickets almost always win.</t>
  </si>
  <si>
    <t>Based on Joe's statement, it is certain that 2 of the 3 tickets have won. Therefore, I'd divide the $100 as follows:
- $0 on 0 tickets winning
- $0 on 1 ticket winning
- $100 on 2 tickets winning
- $0 on 3 tickets winning</t>
  </si>
  <si>
    <t>Response: Yes, Joe knows exactly how many of the 3 tickets have won, as he mentioned that he has looked at all of them and confirmed that 2 of the tickets have won.</t>
  </si>
  <si>
    <t>Based on the context, it can be inferred that all 3 mondrine fruits Monica bought might have dried out pith inside, as it is stated that mongines almost always have dried out pith inside.</t>
  </si>
  <si>
    <t>Based on the context and Monica's statement, I would distribute the $100 as follows:
- $0 on 0, because Monica has already confirmed that at least 1 fruit has dried out pith.
- $5 on 1, as there is a small possibility that the other 2 fruits don't have dried out pith, but considering that mongines almost always have dried out pith inside, this is highly unlikely.
- $25 on 2, as there is a reasonable chance that one of the remaining 2 fruits might not have dried out pith.
- $70 on 3, as this is the most likely scenario given the context. It's mentioned that mongines almost always have dried out pith, and</t>
  </si>
  <si>
    <t>Response: No, Monica does not know exactly how many of the 3 fruits have dried out pith. She has only looked at one of the fruits.</t>
  </si>
  <si>
    <t>Given the context, it could be all 3 phones that have burned out transistors, as it has been stated that broken Sigo phones almost always have this issue. However, without specific confirmation, it cannot be said with certainty.</t>
  </si>
  <si>
    <t>Given the new information provided by Ben, it is confirmed that at least 1 of the 3 phones has burned out transistors. And since broken Sigo phones "almost always" have this issue, it's likely the remaining unexamined phone might also have the same problem. However, there's a small chance that it doesn't. Therefore, here's how I would divide the money:
- $0 on 0, as it's already confirmed that at least one phone has burned out transistors.
- $5 on 1, to allow for a small possibility that the remaining phone doesn't have this issue.
- $35 on 2, accounting for a higher likelihood that either the already-examined or the un</t>
  </si>
  <si>
    <t>Response: No, Ben does not know exactly how many of the 3 phones have burned out transistors. He has only examined 2 of the 3 phones and found that 1 of them has this issue. Until he examines the third phone, he cannot know for sure.</t>
  </si>
  <si>
    <t>Given Jim's statement, it seems quite certain that 1 of the 3 seeds has sprouted. So, I would place the vast majority of the bet on this option.
Here's how I would divide the $100:
- $0 on 0 seeds sprouted
- $95 on 1 seed sprouted
- $5 on 2 seeds sprouted
- $0 on 3 seeds sprouted
I place the remaining $5 on the possibility of 2 seeds sprouting just in case there was a delay in sprouting or an error in Jim's observation. But with Jim's statement, there's virtually no reason to believe that 0 or 3 seeds have sprouted.</t>
  </si>
  <si>
    <t>Response: Yes, given the context, it appears that Jim knows exactly how many of the 3 seeds have sprouted as he has stated that he has looked at all 3 seeds and reported that 1 of them has sprouted.</t>
  </si>
  <si>
    <t>Based on Mark's statement, it is confirmed that one of the exams has a passing grade. As for the other two, we don't have any information. So, my bets would be:
- $0 on 0 exams with passing grades
- $65 on 1 exam with passing grades
- $25 on 2 exams with passing grades
- $10 on 3 exams with passing grades
While the initial context suggests that it's likely all students pass, Mark's statement introduces some uncertainty about the other two exams. Therefore, I would bet most heavily on 1, but still allocate a smaller amount on 2 and 3 to account for the possibility that the other students also passed.</t>
  </si>
  <si>
    <t>Response: Yes, since Mark stated that he has looked at all 3 of the exams, it is certain that he knows exactly how many of the 3 exams have passing grades.</t>
  </si>
  <si>
    <t>Based on Laura's statement, I am confident that 2 of the 3 letters have checks inside. So, I would divide the money as follows:
- $0 on option 0 
- $0 on option 1 
- $100 on option 2 
- $0 on option 3 
This distribution indicates my full confidence that 2 out of the 3 letters have checks inside.</t>
  </si>
  <si>
    <t>Based on Joe's statement, we know for sure that at least 1 of the tickets has won. However, considering the context that DoubleDay instant lottery tickets almost always win, it's still likely that the other 2 tickets have won as well. 
Here's how I would divide the $100:
- 0 tickets won: $0 (we know at least 1 ticket has won)
- 1 ticket won: $20 (just to account for uncertainty)
- 2 tickets won: $30 (there is a chance that one of the remaining tickets didn't win)
- 3 tickets won: $50 (given the high probability of winning, it is most likely that all tickets have won)</t>
  </si>
  <si>
    <t>Response: Based on Joe's statement, it seems that Joe only knows for sure that 1 of the 3 tickets has won because he has looked at only 1 of them. He hasn't mentioned checking the other 2 tickets. Therefore, it's likely that he does not know exactly how many of the 3 tickets have won.</t>
  </si>
  <si>
    <t>Based on the context, it's likely that all 3 of the fruits Monica bought have dried out pith, because it's mentioned that Mongines almost always have dried out pith inside.</t>
  </si>
  <si>
    <t>Based on the information provided, I would divide the money as follows:
$0 on 0 - Monica has already confirmed that 2 out of the 3 fruits have dried out pith.
$10 on 1 - Since 2 fruits have been confirmed to have dried out pith, there is a very small probability that only 1 fruit has dried out pith. This would only be possible if Monica made an error.
$20 on 2 - Although Monica confirmed 2 fruits have dried out pith, she has not checked the third one yet. However, given the information that Mongines almost always have dried out pith, this is less likely.
$70 on 3 - Considering the fact that Mongines almost always have</t>
  </si>
  <si>
    <t>Response: No, Monica does not know exactly how many of the 3 fruits have dried out pith. She has only checked 2 out of the 3 fruits so far.</t>
  </si>
  <si>
    <t>While the context suggests that broken Sigo phones almost always have burned out transistors, it doesn't guarantee that every broken phone will have this specific problem. Therefore, it is highly likely that all three phones have burned out transistors, but it's not certain.</t>
  </si>
  <si>
    <t>Response: Given Ben's statement, it's confirmed that all three phones have burned out transistors. Therefore, I would bet $100 on 3, indicating my full confidence, and $0 on 0, 1, and 2.</t>
  </si>
  <si>
    <t>Response: Yes, since Ben has examined all three phones and stated that all of them have burned out transistors, it's clear that he knows exactly how many of the phones have this specific issue.</t>
  </si>
  <si>
    <t>Based on the context provided, it is highly likely that all 3 Corendula seeds have sprouted, given that these seeds almost always sprout within a day when put into water.</t>
  </si>
  <si>
    <t>Based on Jim's statement, we know for certain that at least 1 of the 3 seeds has sprouted. We also know that Jim has not checked the third seed yet. Given the information that Corendula seeds almost always sprout within a day when put into water, it's highly likely that the third seed has also sprouted. Here is how I would divide the $100 to indicate my confidence:
- 0 seeds sprouted: $0 (we know this is not the case because at least 1 seed has sprouted)
- 1 seed sprouted: $10 (it's possible, but unlikely, that the remaining seed has not sprouted)
- 2 seeds sprouted: $30 (since one of</t>
  </si>
  <si>
    <t>Response: No, Jim does not know exactly how many of the 3 seeds have sprouted, because he has only checked 2 of the 3 seeds so far.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</si>
</sst>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Helvetica Neue"/>
    </font>
    <font>
      <b/>
      <sz val="10"/>
      <color indexed="8"/>
      <name val="Helvetica Neue"/>
    </font>
    <font>
      <b/>
      <sz val="10"/>
      <color rgb="FF000000"/>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7">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000000"/>
      </left>
      <right style="thin">
        <color rgb="FF000000"/>
      </right>
      <top style="thin">
        <color rgb="FF000000"/>
      </top>
      <bottom style="thin">
        <color rgb="FF000000"/>
      </bottom>
      <diagonal/>
    </border>
    <border>
      <left style="thin">
        <color indexed="10"/>
      </left>
      <right/>
      <top style="thin">
        <color indexed="10"/>
      </top>
      <bottom style="thin">
        <color indexed="11"/>
      </bottom>
      <diagonal/>
    </border>
    <border>
      <left style="thin">
        <color indexed="10"/>
      </left>
      <right/>
      <top style="thin">
        <color indexed="11"/>
      </top>
      <bottom style="thin">
        <color indexed="10"/>
      </bottom>
      <diagonal/>
    </border>
    <border>
      <left style="thin">
        <color indexed="10"/>
      </left>
      <right/>
      <top style="thin">
        <color indexed="10"/>
      </top>
      <bottom style="thin">
        <color indexed="1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applyNumberFormat="0" applyFill="0" applyBorder="0" applyProtection="0">
      <alignment vertical="top" wrapText="1"/>
    </xf>
  </cellStyleXfs>
  <cellXfs count="26">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49" fontId="0" fillId="0" borderId="4" xfId="0" applyNumberFormat="1" applyBorder="1">
      <alignment vertical="top" wrapText="1"/>
    </xf>
    <xf numFmtId="0"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49" fontId="0" fillId="0" borderId="7" xfId="0" applyNumberFormat="1" applyBorder="1">
      <alignment vertical="top" wrapText="1"/>
    </xf>
    <xf numFmtId="0" fontId="1" fillId="0" borderId="8" xfId="0" applyNumberFormat="1" applyFont="1" applyBorder="1" applyAlignment="1">
      <alignment vertical="top"/>
    </xf>
    <xf numFmtId="0" fontId="0" fillId="0" borderId="8" xfId="0" applyNumberFormat="1" applyBorder="1" applyAlignment="1">
      <alignment vertical="top"/>
    </xf>
    <xf numFmtId="49" fontId="1" fillId="2" borderId="9" xfId="0" applyNumberFormat="1" applyFont="1" applyFill="1" applyBorder="1" applyAlignment="1">
      <alignment vertical="top"/>
    </xf>
    <xf numFmtId="49" fontId="0" fillId="0" borderId="10" xfId="0" applyNumberFormat="1" applyBorder="1" applyAlignment="1">
      <alignment vertical="top"/>
    </xf>
    <xf numFmtId="49" fontId="0" fillId="0" borderId="11" xfId="0" applyNumberFormat="1" applyBorder="1" applyAlignment="1">
      <alignment vertical="top"/>
    </xf>
    <xf numFmtId="0" fontId="0" fillId="0" borderId="12" xfId="0" applyNumberFormat="1" applyBorder="1" applyAlignment="1">
      <alignment vertical="top"/>
    </xf>
    <xf numFmtId="0" fontId="0" fillId="0" borderId="13" xfId="0" applyNumberFormat="1" applyBorder="1" applyAlignment="1">
      <alignment vertical="top"/>
    </xf>
    <xf numFmtId="0" fontId="0" fillId="0" borderId="0" xfId="0" applyNumberFormat="1" applyBorder="1" applyAlignment="1">
      <alignment vertical="top"/>
    </xf>
    <xf numFmtId="0" fontId="2" fillId="0" borderId="8" xfId="0" applyNumberFormat="1" applyFont="1" applyBorder="1" applyAlignment="1">
      <alignment vertical="top"/>
    </xf>
    <xf numFmtId="0" fontId="1" fillId="0" borderId="14" xfId="0" applyNumberFormat="1" applyFont="1" applyBorder="1" applyAlignment="1">
      <alignment vertical="top"/>
    </xf>
    <xf numFmtId="0" fontId="0" fillId="0" borderId="14" xfId="0" applyNumberFormat="1" applyBorder="1" applyAlignment="1">
      <alignment vertical="top"/>
    </xf>
    <xf numFmtId="0" fontId="0" fillId="0" borderId="15" xfId="0" applyNumberFormat="1" applyBorder="1" applyAlignment="1">
      <alignment vertical="top"/>
    </xf>
    <xf numFmtId="0" fontId="0" fillId="0" borderId="16" xfId="0" applyNumberForma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356"/>
  <sheetViews>
    <sheetView showGridLines="0" tabSelected="1" topLeftCell="L329" workbookViewId="0">
      <selection activeCell="S302" sqref="S302:V355"/>
    </sheetView>
  </sheetViews>
  <sheetFormatPr defaultColWidth="8.28515625" defaultRowHeight="19.899999999999999" customHeight="1"/>
  <cols>
    <col min="1" max="1" width="12.28515625" style="1" customWidth="1"/>
    <col min="2" max="2" width="14.85546875" style="1" customWidth="1"/>
    <col min="3" max="3" width="108.85546875" style="1" customWidth="1"/>
    <col min="4" max="4" width="53" style="1" customWidth="1"/>
    <col min="5" max="5" width="82.42578125" style="1" customWidth="1"/>
    <col min="6" max="6" width="56.7109375" style="1" customWidth="1"/>
    <col min="7" max="7" width="67.42578125" style="1" customWidth="1"/>
    <col min="8" max="8" width="7.140625" style="1" customWidth="1"/>
    <col min="9" max="9" width="7.85546875" style="1" customWidth="1"/>
    <col min="10" max="12" width="166.7109375" style="1" customWidth="1"/>
    <col min="13" max="17" width="8.28515625" style="14" customWidth="1"/>
    <col min="18" max="18" width="8.28515625" style="23"/>
    <col min="19" max="19" width="16" style="14" bestFit="1" customWidth="1"/>
    <col min="20" max="20" width="16.140625" style="14" bestFit="1" customWidth="1"/>
    <col min="21" max="21" width="21.85546875" style="14" bestFit="1" customWidth="1"/>
    <col min="22" max="16384" width="8.28515625" style="1"/>
  </cols>
  <sheetData>
    <row r="1" spans="1:21" ht="20.25" customHeight="1">
      <c r="A1" s="2" t="s">
        <v>0</v>
      </c>
      <c r="B1" s="2" t="s">
        <v>1</v>
      </c>
      <c r="C1" s="2" t="s">
        <v>2</v>
      </c>
      <c r="D1" s="2" t="s">
        <v>3</v>
      </c>
      <c r="E1" s="2" t="s">
        <v>4</v>
      </c>
      <c r="F1" s="2" t="s">
        <v>5</v>
      </c>
      <c r="G1" s="2" t="s">
        <v>6</v>
      </c>
      <c r="H1" s="2" t="s">
        <v>7</v>
      </c>
      <c r="I1" s="2" t="s">
        <v>8</v>
      </c>
      <c r="J1" s="2" t="s">
        <v>9</v>
      </c>
      <c r="K1" s="2" t="s">
        <v>10</v>
      </c>
      <c r="L1" s="15" t="s">
        <v>11</v>
      </c>
      <c r="M1" s="13" t="s">
        <v>12</v>
      </c>
      <c r="N1" s="13">
        <v>0</v>
      </c>
      <c r="O1" s="13">
        <v>1</v>
      </c>
      <c r="P1" s="13">
        <v>2</v>
      </c>
      <c r="Q1" s="13">
        <v>3</v>
      </c>
      <c r="R1" s="22" t="s">
        <v>13</v>
      </c>
      <c r="S1" s="21" t="s">
        <v>14</v>
      </c>
      <c r="T1" s="13" t="s">
        <v>15</v>
      </c>
      <c r="U1" s="13" t="s">
        <v>16</v>
      </c>
    </row>
    <row r="2" spans="1:21" ht="80.25" customHeight="1">
      <c r="A2" s="3">
        <v>1</v>
      </c>
      <c r="B2" s="4" t="s">
        <v>17</v>
      </c>
      <c r="C2" s="5" t="s">
        <v>18</v>
      </c>
      <c r="D2" s="5" t="s">
        <v>19</v>
      </c>
      <c r="E2" s="5" t="s">
        <v>20</v>
      </c>
      <c r="F2" s="5" t="s">
        <v>21</v>
      </c>
      <c r="G2" s="5" t="s">
        <v>22</v>
      </c>
      <c r="H2" s="6">
        <v>2</v>
      </c>
      <c r="I2" s="6">
        <v>2</v>
      </c>
      <c r="J2" s="5" t="s">
        <v>23</v>
      </c>
      <c r="K2" s="7" t="s">
        <v>24</v>
      </c>
      <c r="L2" s="16" t="s">
        <v>25</v>
      </c>
      <c r="M2" s="14">
        <v>3</v>
      </c>
      <c r="N2" s="14">
        <v>0</v>
      </c>
      <c r="O2" s="14">
        <v>0</v>
      </c>
      <c r="P2" s="14">
        <v>10</v>
      </c>
      <c r="Q2" s="14">
        <v>90</v>
      </c>
      <c r="R2" s="23" t="s">
        <v>26</v>
      </c>
      <c r="S2" s="14" t="str">
        <f>IF(AND(ISNUMBER(N2), ISNUMBER(O2), ISNUMBER(P2), ISNUMBER(Q2)), "", "drop_incomplete")</f>
        <v/>
      </c>
      <c r="T2" s="14" t="str">
        <f>IF(M2 &lt;&gt; 3, "drop_wrongPrior", "")</f>
        <v/>
      </c>
      <c r="U2" s="14" t="str">
        <f>IF(AND(H2 = 3, R2 &lt;&gt; "Y"), "wrongKnowledge",
    IF(OR(R2 = "uncertain", R2 = "uncertain N"), "wrongKnowledge",
       IF(AND(H2 &lt;&gt; 3, R2 = "Y"), "wrongKnowledge", "")))</f>
        <v/>
      </c>
    </row>
    <row r="3" spans="1:21" ht="80.099999999999994" customHeight="1">
      <c r="A3" s="8">
        <v>1</v>
      </c>
      <c r="B3" s="9" t="s">
        <v>27</v>
      </c>
      <c r="C3" s="10" t="s">
        <v>28</v>
      </c>
      <c r="D3" s="10" t="s">
        <v>29</v>
      </c>
      <c r="E3" s="10" t="s">
        <v>30</v>
      </c>
      <c r="F3" s="10" t="s">
        <v>31</v>
      </c>
      <c r="G3" s="10" t="s">
        <v>32</v>
      </c>
      <c r="H3" s="11">
        <v>3</v>
      </c>
      <c r="I3" s="11">
        <v>1</v>
      </c>
      <c r="J3" s="10" t="s">
        <v>33</v>
      </c>
      <c r="K3" s="12" t="s">
        <v>34</v>
      </c>
      <c r="L3" s="17" t="s">
        <v>35</v>
      </c>
      <c r="M3" s="14">
        <v>3</v>
      </c>
      <c r="N3" s="14">
        <v>0</v>
      </c>
      <c r="O3" s="14">
        <v>100</v>
      </c>
      <c r="P3" s="14">
        <v>0</v>
      </c>
      <c r="Q3" s="14">
        <v>0</v>
      </c>
      <c r="R3" s="23" t="s">
        <v>36</v>
      </c>
      <c r="S3" s="14" t="str">
        <f t="shared" ref="S3:S66" si="0">IF(AND(ISNUMBER(N3), ISNUMBER(O3), ISNUMBER(P3), ISNUMBER(Q3)), "", "drop_incomplete")</f>
        <v/>
      </c>
      <c r="T3" s="14" t="str">
        <f t="shared" ref="T3:T66" si="1">IF(M3 &lt;&gt; 3, "drop_wrongPrior", "")</f>
        <v/>
      </c>
      <c r="U3" s="14" t="str">
        <f t="shared" ref="U3:U66" si="2">IF(AND(H3 = 3, R3 &lt;&gt; "Y"), "wrongKnowledge",
    IF(OR(R3 = "uncertain", R3 = "uncertain N"), "wrongKnowledge",
       IF(AND(H3 &lt;&gt; 3, R3 = "Y"), "wrongKnowledge", "")))</f>
        <v/>
      </c>
    </row>
    <row r="4" spans="1:21" ht="80.099999999999994" customHeight="1">
      <c r="A4" s="8">
        <v>1</v>
      </c>
      <c r="B4" s="9" t="s">
        <v>37</v>
      </c>
      <c r="C4" s="10" t="s">
        <v>38</v>
      </c>
      <c r="D4" s="10" t="s">
        <v>39</v>
      </c>
      <c r="E4" s="10" t="s">
        <v>40</v>
      </c>
      <c r="F4" s="10" t="s">
        <v>41</v>
      </c>
      <c r="G4" s="10" t="s">
        <v>42</v>
      </c>
      <c r="H4" s="11">
        <v>3</v>
      </c>
      <c r="I4" s="11">
        <v>2</v>
      </c>
      <c r="J4" s="10" t="s">
        <v>43</v>
      </c>
      <c r="K4" s="12" t="s">
        <v>44</v>
      </c>
      <c r="L4" s="17" t="s">
        <v>45</v>
      </c>
      <c r="M4" s="14">
        <v>3</v>
      </c>
      <c r="N4" s="14">
        <v>0</v>
      </c>
      <c r="O4" s="14">
        <v>0</v>
      </c>
      <c r="P4" s="14">
        <v>100</v>
      </c>
      <c r="Q4" s="14">
        <v>0</v>
      </c>
      <c r="R4" s="23" t="s">
        <v>36</v>
      </c>
      <c r="S4" s="14" t="str">
        <f t="shared" si="0"/>
        <v/>
      </c>
      <c r="T4" s="14" t="str">
        <f t="shared" si="1"/>
        <v/>
      </c>
      <c r="U4" s="14" t="str">
        <f t="shared" si="2"/>
        <v/>
      </c>
    </row>
    <row r="5" spans="1:21" ht="104.1" customHeight="1">
      <c r="A5" s="8">
        <v>1</v>
      </c>
      <c r="B5" s="9" t="s">
        <v>46</v>
      </c>
      <c r="C5" s="10" t="s">
        <v>47</v>
      </c>
      <c r="D5" s="10" t="s">
        <v>48</v>
      </c>
      <c r="E5" s="10" t="s">
        <v>49</v>
      </c>
      <c r="F5" s="10" t="s">
        <v>50</v>
      </c>
      <c r="G5" s="10" t="s">
        <v>51</v>
      </c>
      <c r="H5" s="11">
        <v>1</v>
      </c>
      <c r="I5" s="11">
        <v>1</v>
      </c>
      <c r="J5" s="10" t="s">
        <v>52</v>
      </c>
      <c r="K5" s="12" t="s">
        <v>53</v>
      </c>
      <c r="L5" s="17" t="s">
        <v>54</v>
      </c>
      <c r="M5" s="14">
        <v>3</v>
      </c>
      <c r="N5" s="14">
        <v>0</v>
      </c>
      <c r="O5" s="14">
        <v>10</v>
      </c>
      <c r="P5" s="14">
        <v>30</v>
      </c>
      <c r="Q5" s="14">
        <v>60</v>
      </c>
      <c r="R5" s="23" t="s">
        <v>26</v>
      </c>
      <c r="S5" s="14" t="str">
        <f t="shared" si="0"/>
        <v/>
      </c>
      <c r="T5" s="14" t="str">
        <f t="shared" si="1"/>
        <v/>
      </c>
      <c r="U5" s="14" t="str">
        <f t="shared" si="2"/>
        <v/>
      </c>
    </row>
    <row r="6" spans="1:21" ht="80.099999999999994" customHeight="1">
      <c r="A6" s="8">
        <v>1</v>
      </c>
      <c r="B6" s="9" t="s">
        <v>55</v>
      </c>
      <c r="C6" s="10" t="s">
        <v>56</v>
      </c>
      <c r="D6" s="10" t="s">
        <v>57</v>
      </c>
      <c r="E6" s="10" t="s">
        <v>58</v>
      </c>
      <c r="F6" s="10" t="s">
        <v>59</v>
      </c>
      <c r="G6" s="10" t="s">
        <v>60</v>
      </c>
      <c r="H6" s="11">
        <v>2</v>
      </c>
      <c r="I6" s="11">
        <v>1</v>
      </c>
      <c r="J6" s="10" t="s">
        <v>61</v>
      </c>
      <c r="K6" s="12" t="s">
        <v>62</v>
      </c>
      <c r="L6" s="17" t="s">
        <v>63</v>
      </c>
      <c r="M6" s="14">
        <v>3</v>
      </c>
      <c r="N6" s="14">
        <v>0</v>
      </c>
      <c r="O6" s="14">
        <v>5</v>
      </c>
      <c r="P6" s="14" t="s">
        <v>64</v>
      </c>
      <c r="Q6" s="14" t="s">
        <v>64</v>
      </c>
      <c r="R6" s="23" t="s">
        <v>26</v>
      </c>
      <c r="S6" s="14" t="str">
        <f t="shared" si="0"/>
        <v>drop_incomplete</v>
      </c>
      <c r="T6" s="14" t="str">
        <f t="shared" si="1"/>
        <v/>
      </c>
      <c r="U6" s="14" t="str">
        <f t="shared" si="2"/>
        <v/>
      </c>
    </row>
    <row r="7" spans="1:21" ht="104.1" customHeight="1">
      <c r="A7" s="8">
        <v>1</v>
      </c>
      <c r="B7" s="9" t="s">
        <v>65</v>
      </c>
      <c r="C7" s="10" t="s">
        <v>66</v>
      </c>
      <c r="D7" s="10" t="s">
        <v>67</v>
      </c>
      <c r="E7" s="10" t="s">
        <v>68</v>
      </c>
      <c r="F7" s="10" t="s">
        <v>69</v>
      </c>
      <c r="G7" s="10" t="s">
        <v>70</v>
      </c>
      <c r="H7" s="11">
        <v>3</v>
      </c>
      <c r="I7" s="11">
        <v>3</v>
      </c>
      <c r="J7" s="10" t="s">
        <v>71</v>
      </c>
      <c r="K7" s="12" t="s">
        <v>72</v>
      </c>
      <c r="L7" s="17" t="s">
        <v>73</v>
      </c>
      <c r="M7" s="14">
        <v>3</v>
      </c>
      <c r="N7" s="14">
        <v>0</v>
      </c>
      <c r="O7" s="14">
        <v>0</v>
      </c>
      <c r="P7" s="14">
        <v>0</v>
      </c>
      <c r="Q7" s="14">
        <v>100</v>
      </c>
      <c r="R7" s="23" t="s">
        <v>36</v>
      </c>
      <c r="S7" s="14" t="str">
        <f t="shared" si="0"/>
        <v/>
      </c>
      <c r="T7" s="14" t="str">
        <f t="shared" si="1"/>
        <v/>
      </c>
      <c r="U7" s="14" t="str">
        <f t="shared" si="2"/>
        <v/>
      </c>
    </row>
    <row r="8" spans="1:21" ht="80.099999999999994" customHeight="1">
      <c r="A8" s="8">
        <v>2</v>
      </c>
      <c r="B8" s="9" t="s">
        <v>17</v>
      </c>
      <c r="C8" s="10" t="s">
        <v>18</v>
      </c>
      <c r="D8" s="10" t="s">
        <v>19</v>
      </c>
      <c r="E8" s="10" t="s">
        <v>74</v>
      </c>
      <c r="F8" s="10" t="s">
        <v>21</v>
      </c>
      <c r="G8" s="10" t="s">
        <v>22</v>
      </c>
      <c r="H8" s="11">
        <v>3</v>
      </c>
      <c r="I8" s="11">
        <v>3</v>
      </c>
      <c r="J8" s="10" t="s">
        <v>75</v>
      </c>
      <c r="K8" s="12" t="s">
        <v>76</v>
      </c>
      <c r="L8" s="17" t="s">
        <v>77</v>
      </c>
      <c r="M8" s="14">
        <v>3</v>
      </c>
      <c r="N8" s="14">
        <v>0</v>
      </c>
      <c r="O8" s="14">
        <v>0</v>
      </c>
      <c r="P8" s="14">
        <v>0</v>
      </c>
      <c r="Q8" s="14">
        <v>100</v>
      </c>
      <c r="R8" s="23" t="s">
        <v>36</v>
      </c>
      <c r="S8" s="14" t="str">
        <f t="shared" si="0"/>
        <v/>
      </c>
      <c r="T8" s="14" t="str">
        <f t="shared" si="1"/>
        <v/>
      </c>
      <c r="U8" s="14" t="str">
        <f t="shared" si="2"/>
        <v/>
      </c>
    </row>
    <row r="9" spans="1:21" ht="92.1" customHeight="1">
      <c r="A9" s="8">
        <v>2</v>
      </c>
      <c r="B9" s="9" t="s">
        <v>27</v>
      </c>
      <c r="C9" s="10" t="s">
        <v>28</v>
      </c>
      <c r="D9" s="10" t="s">
        <v>29</v>
      </c>
      <c r="E9" s="10" t="s">
        <v>78</v>
      </c>
      <c r="F9" s="10" t="s">
        <v>31</v>
      </c>
      <c r="G9" s="10" t="s">
        <v>32</v>
      </c>
      <c r="H9" s="11">
        <v>3</v>
      </c>
      <c r="I9" s="11">
        <v>2</v>
      </c>
      <c r="J9" s="10" t="s">
        <v>79</v>
      </c>
      <c r="K9" s="12" t="s">
        <v>80</v>
      </c>
      <c r="L9" s="17" t="s">
        <v>81</v>
      </c>
      <c r="M9" s="14">
        <v>3</v>
      </c>
      <c r="N9" s="14">
        <v>0</v>
      </c>
      <c r="O9" s="14">
        <v>0</v>
      </c>
      <c r="P9" s="14">
        <v>100</v>
      </c>
      <c r="Q9" s="14">
        <v>0</v>
      </c>
      <c r="R9" s="23" t="s">
        <v>36</v>
      </c>
      <c r="S9" s="14" t="str">
        <f t="shared" si="0"/>
        <v/>
      </c>
      <c r="T9" s="14" t="str">
        <f t="shared" si="1"/>
        <v/>
      </c>
      <c r="U9" s="14" t="str">
        <f t="shared" si="2"/>
        <v/>
      </c>
    </row>
    <row r="10" spans="1:21" ht="80.099999999999994" customHeight="1">
      <c r="A10" s="8">
        <v>2</v>
      </c>
      <c r="B10" s="9" t="s">
        <v>37</v>
      </c>
      <c r="C10" s="10" t="s">
        <v>38</v>
      </c>
      <c r="D10" s="10" t="s">
        <v>39</v>
      </c>
      <c r="E10" s="10" t="s">
        <v>82</v>
      </c>
      <c r="F10" s="10" t="s">
        <v>41</v>
      </c>
      <c r="G10" s="10" t="s">
        <v>42</v>
      </c>
      <c r="H10" s="11">
        <v>3</v>
      </c>
      <c r="I10" s="11">
        <v>1</v>
      </c>
      <c r="J10" s="10" t="s">
        <v>83</v>
      </c>
      <c r="K10" s="12" t="s">
        <v>84</v>
      </c>
      <c r="L10" s="17" t="s">
        <v>85</v>
      </c>
      <c r="M10" s="14">
        <v>3</v>
      </c>
      <c r="N10" s="14">
        <v>0</v>
      </c>
      <c r="O10" s="14">
        <v>100</v>
      </c>
      <c r="P10" s="14">
        <v>0</v>
      </c>
      <c r="Q10" s="14">
        <v>0</v>
      </c>
      <c r="R10" s="23" t="s">
        <v>36</v>
      </c>
      <c r="S10" s="14" t="str">
        <f t="shared" si="0"/>
        <v/>
      </c>
      <c r="T10" s="14" t="str">
        <f t="shared" si="1"/>
        <v/>
      </c>
      <c r="U10" s="14" t="str">
        <f t="shared" si="2"/>
        <v/>
      </c>
    </row>
    <row r="11" spans="1:21" ht="80.099999999999994" customHeight="1">
      <c r="A11" s="8">
        <v>2</v>
      </c>
      <c r="B11" s="9" t="s">
        <v>46</v>
      </c>
      <c r="C11" s="10" t="s">
        <v>47</v>
      </c>
      <c r="D11" s="10" t="s">
        <v>48</v>
      </c>
      <c r="E11" s="10" t="s">
        <v>86</v>
      </c>
      <c r="F11" s="10" t="s">
        <v>50</v>
      </c>
      <c r="G11" s="10" t="s">
        <v>51</v>
      </c>
      <c r="H11" s="11">
        <v>2</v>
      </c>
      <c r="I11" s="11">
        <v>1</v>
      </c>
      <c r="J11" s="10" t="s">
        <v>87</v>
      </c>
      <c r="K11" s="12" t="s">
        <v>88</v>
      </c>
      <c r="L11" s="17" t="s">
        <v>89</v>
      </c>
      <c r="M11" s="14">
        <v>3</v>
      </c>
      <c r="N11" s="14">
        <v>0</v>
      </c>
      <c r="O11" s="14">
        <v>10</v>
      </c>
      <c r="P11" s="14">
        <v>40</v>
      </c>
      <c r="Q11" s="14">
        <v>50</v>
      </c>
      <c r="R11" s="23" t="s">
        <v>26</v>
      </c>
      <c r="S11" s="14" t="str">
        <f t="shared" si="0"/>
        <v/>
      </c>
      <c r="T11" s="14" t="str">
        <f t="shared" si="1"/>
        <v/>
      </c>
      <c r="U11" s="14" t="str">
        <f t="shared" si="2"/>
        <v/>
      </c>
    </row>
    <row r="12" spans="1:21" ht="80.099999999999994" customHeight="1">
      <c r="A12" s="8">
        <v>2</v>
      </c>
      <c r="B12" s="9" t="s">
        <v>55</v>
      </c>
      <c r="C12" s="10" t="s">
        <v>56</v>
      </c>
      <c r="D12" s="10" t="s">
        <v>57</v>
      </c>
      <c r="E12" s="10" t="s">
        <v>90</v>
      </c>
      <c r="F12" s="10" t="s">
        <v>59</v>
      </c>
      <c r="G12" s="10" t="s">
        <v>60</v>
      </c>
      <c r="H12" s="11">
        <v>1</v>
      </c>
      <c r="I12" s="11">
        <v>1</v>
      </c>
      <c r="J12" s="10" t="s">
        <v>91</v>
      </c>
      <c r="K12" s="12" t="s">
        <v>92</v>
      </c>
      <c r="L12" s="17" t="s">
        <v>93</v>
      </c>
      <c r="M12" s="14" t="s">
        <v>94</v>
      </c>
      <c r="N12" s="14">
        <v>0</v>
      </c>
      <c r="O12" s="14">
        <v>10</v>
      </c>
      <c r="P12" s="14">
        <v>30</v>
      </c>
      <c r="Q12" s="14">
        <v>60</v>
      </c>
      <c r="R12" s="23" t="s">
        <v>95</v>
      </c>
      <c r="S12" s="14" t="str">
        <f t="shared" si="0"/>
        <v/>
      </c>
      <c r="T12" s="14" t="str">
        <f t="shared" si="1"/>
        <v>drop_wrongPrior</v>
      </c>
      <c r="U12" s="14" t="str">
        <f t="shared" si="2"/>
        <v>wrongKnowledge</v>
      </c>
    </row>
    <row r="13" spans="1:21" ht="104.1" customHeight="1">
      <c r="A13" s="8">
        <v>2</v>
      </c>
      <c r="B13" s="9" t="s">
        <v>65</v>
      </c>
      <c r="C13" s="10" t="s">
        <v>66</v>
      </c>
      <c r="D13" s="10" t="s">
        <v>67</v>
      </c>
      <c r="E13" s="10" t="s">
        <v>96</v>
      </c>
      <c r="F13" s="10" t="s">
        <v>69</v>
      </c>
      <c r="G13" s="10" t="s">
        <v>70</v>
      </c>
      <c r="H13" s="11">
        <v>2</v>
      </c>
      <c r="I13" s="11">
        <v>2</v>
      </c>
      <c r="J13" s="10" t="s">
        <v>97</v>
      </c>
      <c r="K13" s="12" t="s">
        <v>98</v>
      </c>
      <c r="L13" s="17" t="s">
        <v>99</v>
      </c>
      <c r="M13" s="14">
        <v>3</v>
      </c>
      <c r="N13" s="14">
        <v>0</v>
      </c>
      <c r="O13" s="14">
        <v>0</v>
      </c>
      <c r="P13" s="14">
        <v>0</v>
      </c>
      <c r="Q13" s="14">
        <v>100</v>
      </c>
      <c r="R13" s="23" t="s">
        <v>26</v>
      </c>
      <c r="S13" s="14" t="str">
        <f t="shared" si="0"/>
        <v/>
      </c>
      <c r="T13" s="14" t="str">
        <f t="shared" si="1"/>
        <v/>
      </c>
      <c r="U13" s="14" t="str">
        <f t="shared" si="2"/>
        <v/>
      </c>
    </row>
    <row r="14" spans="1:21" ht="80.099999999999994" customHeight="1">
      <c r="A14" s="8">
        <v>3</v>
      </c>
      <c r="B14" s="9" t="s">
        <v>17</v>
      </c>
      <c r="C14" s="10" t="s">
        <v>18</v>
      </c>
      <c r="D14" s="10" t="s">
        <v>19</v>
      </c>
      <c r="E14" s="10" t="s">
        <v>100</v>
      </c>
      <c r="F14" s="10" t="s">
        <v>21</v>
      </c>
      <c r="G14" s="10" t="s">
        <v>22</v>
      </c>
      <c r="H14" s="11">
        <v>2</v>
      </c>
      <c r="I14" s="11">
        <v>1</v>
      </c>
      <c r="J14" s="10" t="s">
        <v>101</v>
      </c>
      <c r="K14" s="12" t="s">
        <v>102</v>
      </c>
      <c r="L14" s="17" t="s">
        <v>103</v>
      </c>
      <c r="M14" s="14">
        <v>3</v>
      </c>
      <c r="N14" s="14">
        <v>0</v>
      </c>
      <c r="O14" s="14">
        <v>5</v>
      </c>
      <c r="P14" s="14">
        <v>20</v>
      </c>
      <c r="Q14" s="14">
        <v>75</v>
      </c>
      <c r="R14" s="23" t="s">
        <v>26</v>
      </c>
      <c r="S14" s="14" t="str">
        <f t="shared" si="0"/>
        <v/>
      </c>
      <c r="T14" s="14" t="str">
        <f t="shared" si="1"/>
        <v/>
      </c>
      <c r="U14" s="14" t="str">
        <f t="shared" si="2"/>
        <v/>
      </c>
    </row>
    <row r="15" spans="1:21" ht="104.1" customHeight="1">
      <c r="A15" s="8">
        <v>3</v>
      </c>
      <c r="B15" s="9" t="s">
        <v>27</v>
      </c>
      <c r="C15" s="10" t="s">
        <v>28</v>
      </c>
      <c r="D15" s="10" t="s">
        <v>29</v>
      </c>
      <c r="E15" s="10" t="s">
        <v>104</v>
      </c>
      <c r="F15" s="10" t="s">
        <v>31</v>
      </c>
      <c r="G15" s="10" t="s">
        <v>32</v>
      </c>
      <c r="H15" s="11">
        <v>2</v>
      </c>
      <c r="I15" s="11">
        <v>2</v>
      </c>
      <c r="J15" s="10" t="s">
        <v>105</v>
      </c>
      <c r="K15" s="12" t="s">
        <v>106</v>
      </c>
      <c r="L15" s="17" t="s">
        <v>107</v>
      </c>
      <c r="M15" s="14">
        <v>3</v>
      </c>
      <c r="N15" s="14">
        <v>0</v>
      </c>
      <c r="O15" s="14">
        <v>0</v>
      </c>
      <c r="P15" s="14">
        <v>10</v>
      </c>
      <c r="Q15" s="14">
        <v>90</v>
      </c>
      <c r="R15" s="23" t="s">
        <v>26</v>
      </c>
      <c r="S15" s="14" t="str">
        <f t="shared" si="0"/>
        <v/>
      </c>
      <c r="T15" s="14" t="str">
        <f t="shared" si="1"/>
        <v/>
      </c>
      <c r="U15" s="14" t="str">
        <f t="shared" si="2"/>
        <v/>
      </c>
    </row>
    <row r="16" spans="1:21" ht="56.1" customHeight="1">
      <c r="A16" s="8">
        <v>3</v>
      </c>
      <c r="B16" s="9" t="s">
        <v>37</v>
      </c>
      <c r="C16" s="10" t="s">
        <v>38</v>
      </c>
      <c r="D16" s="10" t="s">
        <v>39</v>
      </c>
      <c r="E16" s="10" t="s">
        <v>108</v>
      </c>
      <c r="F16" s="10" t="s">
        <v>41</v>
      </c>
      <c r="G16" s="10" t="s">
        <v>42</v>
      </c>
      <c r="H16" s="11">
        <v>3</v>
      </c>
      <c r="I16" s="11">
        <v>3</v>
      </c>
      <c r="J16" s="10" t="s">
        <v>109</v>
      </c>
      <c r="K16" s="12" t="s">
        <v>110</v>
      </c>
      <c r="L16" s="17" t="s">
        <v>111</v>
      </c>
      <c r="M16" s="14">
        <v>3</v>
      </c>
      <c r="N16" s="14">
        <v>0</v>
      </c>
      <c r="O16" s="14">
        <v>0</v>
      </c>
      <c r="P16" s="14">
        <v>0</v>
      </c>
      <c r="Q16" s="14">
        <v>100</v>
      </c>
      <c r="R16" s="23" t="s">
        <v>36</v>
      </c>
      <c r="S16" s="14" t="str">
        <f t="shared" si="0"/>
        <v/>
      </c>
      <c r="T16" s="14" t="str">
        <f t="shared" si="1"/>
        <v/>
      </c>
      <c r="U16" s="14" t="str">
        <f t="shared" si="2"/>
        <v/>
      </c>
    </row>
    <row r="17" spans="1:21" ht="68.099999999999994" customHeight="1">
      <c r="A17" s="8">
        <v>3</v>
      </c>
      <c r="B17" s="9" t="s">
        <v>46</v>
      </c>
      <c r="C17" s="10" t="s">
        <v>47</v>
      </c>
      <c r="D17" s="10" t="s">
        <v>48</v>
      </c>
      <c r="E17" s="10" t="s">
        <v>112</v>
      </c>
      <c r="F17" s="10" t="s">
        <v>50</v>
      </c>
      <c r="G17" s="10" t="s">
        <v>51</v>
      </c>
      <c r="H17" s="11">
        <v>3</v>
      </c>
      <c r="I17" s="11">
        <v>1</v>
      </c>
      <c r="J17" s="10" t="s">
        <v>113</v>
      </c>
      <c r="K17" s="12" t="s">
        <v>114</v>
      </c>
      <c r="L17" s="17" t="s">
        <v>115</v>
      </c>
      <c r="M17" s="14">
        <v>3</v>
      </c>
      <c r="N17" s="14">
        <v>0</v>
      </c>
      <c r="O17" s="14">
        <v>100</v>
      </c>
      <c r="P17" s="14">
        <v>0</v>
      </c>
      <c r="Q17" s="14">
        <v>0</v>
      </c>
      <c r="R17" s="23" t="s">
        <v>36</v>
      </c>
      <c r="S17" s="14" t="str">
        <f t="shared" si="0"/>
        <v/>
      </c>
      <c r="T17" s="14" t="str">
        <f t="shared" si="1"/>
        <v/>
      </c>
      <c r="U17" s="14" t="str">
        <f t="shared" si="2"/>
        <v/>
      </c>
    </row>
    <row r="18" spans="1:21" ht="80.099999999999994" customHeight="1">
      <c r="A18" s="8">
        <v>3</v>
      </c>
      <c r="B18" s="9" t="s">
        <v>55</v>
      </c>
      <c r="C18" s="10" t="s">
        <v>56</v>
      </c>
      <c r="D18" s="10" t="s">
        <v>57</v>
      </c>
      <c r="E18" s="10" t="s">
        <v>116</v>
      </c>
      <c r="F18" s="10" t="s">
        <v>59</v>
      </c>
      <c r="G18" s="10" t="s">
        <v>60</v>
      </c>
      <c r="H18" s="11">
        <v>3</v>
      </c>
      <c r="I18" s="11">
        <v>2</v>
      </c>
      <c r="J18" s="10" t="s">
        <v>117</v>
      </c>
      <c r="K18" s="12" t="s">
        <v>118</v>
      </c>
      <c r="L18" s="17" t="s">
        <v>119</v>
      </c>
      <c r="M18" s="14">
        <v>3</v>
      </c>
      <c r="N18" s="14">
        <v>0</v>
      </c>
      <c r="O18" s="14">
        <v>0</v>
      </c>
      <c r="P18" s="14">
        <v>100</v>
      </c>
      <c r="Q18" s="14">
        <v>0</v>
      </c>
      <c r="R18" s="23" t="s">
        <v>36</v>
      </c>
      <c r="S18" s="14" t="str">
        <f t="shared" si="0"/>
        <v/>
      </c>
      <c r="T18" s="14" t="str">
        <f t="shared" si="1"/>
        <v/>
      </c>
      <c r="U18" s="14" t="str">
        <f t="shared" si="2"/>
        <v/>
      </c>
    </row>
    <row r="19" spans="1:21" ht="68.099999999999994" customHeight="1">
      <c r="A19" s="8">
        <v>3</v>
      </c>
      <c r="B19" s="9" t="s">
        <v>65</v>
      </c>
      <c r="C19" s="10" t="s">
        <v>66</v>
      </c>
      <c r="D19" s="10" t="s">
        <v>67</v>
      </c>
      <c r="E19" s="10" t="s">
        <v>120</v>
      </c>
      <c r="F19" s="10" t="s">
        <v>69</v>
      </c>
      <c r="G19" s="10" t="s">
        <v>70</v>
      </c>
      <c r="H19" s="11">
        <v>1</v>
      </c>
      <c r="I19" s="11">
        <v>1</v>
      </c>
      <c r="J19" s="10" t="s">
        <v>121</v>
      </c>
      <c r="K19" s="12" t="s">
        <v>122</v>
      </c>
      <c r="L19" s="17" t="s">
        <v>123</v>
      </c>
      <c r="M19" s="14">
        <v>3</v>
      </c>
      <c r="N19" s="14">
        <v>0</v>
      </c>
      <c r="O19" s="14">
        <v>5</v>
      </c>
      <c r="P19" s="14">
        <v>25</v>
      </c>
      <c r="Q19" s="14" t="s">
        <v>124</v>
      </c>
      <c r="R19" s="23" t="s">
        <v>26</v>
      </c>
      <c r="S19" s="14" t="str">
        <f t="shared" si="0"/>
        <v>drop_incomplete</v>
      </c>
      <c r="T19" s="14" t="str">
        <f t="shared" si="1"/>
        <v/>
      </c>
      <c r="U19" s="14" t="str">
        <f t="shared" si="2"/>
        <v/>
      </c>
    </row>
    <row r="20" spans="1:21" ht="104.1" customHeight="1">
      <c r="A20" s="8">
        <v>4</v>
      </c>
      <c r="B20" s="9" t="s">
        <v>17</v>
      </c>
      <c r="C20" s="10" t="s">
        <v>18</v>
      </c>
      <c r="D20" s="10" t="s">
        <v>19</v>
      </c>
      <c r="E20" s="10" t="s">
        <v>125</v>
      </c>
      <c r="F20" s="10" t="s">
        <v>21</v>
      </c>
      <c r="G20" s="10" t="s">
        <v>22</v>
      </c>
      <c r="H20" s="11">
        <v>3</v>
      </c>
      <c r="I20" s="11">
        <v>1</v>
      </c>
      <c r="J20" s="10" t="s">
        <v>126</v>
      </c>
      <c r="K20" s="12" t="s">
        <v>127</v>
      </c>
      <c r="L20" s="17" t="s">
        <v>128</v>
      </c>
      <c r="M20" s="14">
        <v>3</v>
      </c>
      <c r="N20" s="14">
        <v>0</v>
      </c>
      <c r="O20" s="14">
        <v>100</v>
      </c>
      <c r="P20" s="14">
        <v>0</v>
      </c>
      <c r="Q20" s="14">
        <v>0</v>
      </c>
      <c r="R20" s="23" t="s">
        <v>36</v>
      </c>
      <c r="S20" s="14" t="str">
        <f t="shared" si="0"/>
        <v/>
      </c>
      <c r="T20" s="14" t="str">
        <f t="shared" si="1"/>
        <v/>
      </c>
      <c r="U20" s="14" t="str">
        <f t="shared" si="2"/>
        <v/>
      </c>
    </row>
    <row r="21" spans="1:21" ht="104.1" customHeight="1">
      <c r="A21" s="8">
        <v>4</v>
      </c>
      <c r="B21" s="9" t="s">
        <v>27</v>
      </c>
      <c r="C21" s="10" t="s">
        <v>28</v>
      </c>
      <c r="D21" s="10" t="s">
        <v>29</v>
      </c>
      <c r="E21" s="10" t="s">
        <v>104</v>
      </c>
      <c r="F21" s="10" t="s">
        <v>31</v>
      </c>
      <c r="G21" s="10" t="s">
        <v>32</v>
      </c>
      <c r="H21" s="11">
        <v>2</v>
      </c>
      <c r="I21" s="11">
        <v>2</v>
      </c>
      <c r="J21" s="10" t="s">
        <v>129</v>
      </c>
      <c r="K21" s="12" t="s">
        <v>130</v>
      </c>
      <c r="L21" s="17" t="s">
        <v>131</v>
      </c>
      <c r="M21" s="14">
        <v>3</v>
      </c>
      <c r="N21" s="14">
        <v>0</v>
      </c>
      <c r="O21" s="14">
        <v>0</v>
      </c>
      <c r="P21" s="14">
        <v>10</v>
      </c>
      <c r="Q21" s="14">
        <v>90</v>
      </c>
      <c r="R21" s="23" t="s">
        <v>26</v>
      </c>
      <c r="S21" s="14" t="str">
        <f t="shared" si="0"/>
        <v/>
      </c>
      <c r="T21" s="14" t="str">
        <f t="shared" si="1"/>
        <v/>
      </c>
      <c r="U21" s="14" t="str">
        <f t="shared" si="2"/>
        <v/>
      </c>
    </row>
    <row r="22" spans="1:21" ht="92.1" customHeight="1">
      <c r="A22" s="8">
        <v>4</v>
      </c>
      <c r="B22" s="9" t="s">
        <v>37</v>
      </c>
      <c r="C22" s="10" t="s">
        <v>38</v>
      </c>
      <c r="D22" s="10" t="s">
        <v>39</v>
      </c>
      <c r="E22" s="10" t="s">
        <v>132</v>
      </c>
      <c r="F22" s="10" t="s">
        <v>41</v>
      </c>
      <c r="G22" s="10" t="s">
        <v>42</v>
      </c>
      <c r="H22" s="11">
        <v>1</v>
      </c>
      <c r="I22" s="11">
        <v>1</v>
      </c>
      <c r="J22" s="10" t="s">
        <v>133</v>
      </c>
      <c r="K22" s="12" t="s">
        <v>134</v>
      </c>
      <c r="L22" s="17" t="s">
        <v>135</v>
      </c>
      <c r="M22" s="14">
        <v>3</v>
      </c>
      <c r="N22" s="14">
        <v>0</v>
      </c>
      <c r="O22" s="14">
        <v>0</v>
      </c>
      <c r="P22" s="14">
        <v>20</v>
      </c>
      <c r="Q22" s="14">
        <v>80</v>
      </c>
      <c r="R22" s="23" t="s">
        <v>26</v>
      </c>
      <c r="S22" s="14" t="str">
        <f t="shared" si="0"/>
        <v/>
      </c>
      <c r="T22" s="14" t="str">
        <f t="shared" si="1"/>
        <v/>
      </c>
      <c r="U22" s="14" t="str">
        <f t="shared" si="2"/>
        <v/>
      </c>
    </row>
    <row r="23" spans="1:21" ht="80.099999999999994" customHeight="1">
      <c r="A23" s="8">
        <v>4</v>
      </c>
      <c r="B23" s="9" t="s">
        <v>46</v>
      </c>
      <c r="C23" s="10" t="s">
        <v>47</v>
      </c>
      <c r="D23" s="10" t="s">
        <v>48</v>
      </c>
      <c r="E23" s="10" t="s">
        <v>86</v>
      </c>
      <c r="F23" s="10" t="s">
        <v>50</v>
      </c>
      <c r="G23" s="10" t="s">
        <v>51</v>
      </c>
      <c r="H23" s="11">
        <v>2</v>
      </c>
      <c r="I23" s="11">
        <v>1</v>
      </c>
      <c r="J23" s="10" t="s">
        <v>136</v>
      </c>
      <c r="K23" s="12" t="s">
        <v>137</v>
      </c>
      <c r="L23" s="17" t="s">
        <v>138</v>
      </c>
      <c r="M23" s="14">
        <v>3</v>
      </c>
      <c r="N23" s="14">
        <v>0</v>
      </c>
      <c r="O23" s="14">
        <v>0</v>
      </c>
      <c r="P23" s="14">
        <v>50</v>
      </c>
      <c r="Q23" s="14">
        <v>50</v>
      </c>
      <c r="R23" s="23" t="s">
        <v>26</v>
      </c>
      <c r="S23" s="14" t="str">
        <f t="shared" si="0"/>
        <v/>
      </c>
      <c r="T23" s="14" t="str">
        <f t="shared" si="1"/>
        <v/>
      </c>
      <c r="U23" s="14" t="str">
        <f t="shared" si="2"/>
        <v/>
      </c>
    </row>
    <row r="24" spans="1:21" ht="80.099999999999994" customHeight="1">
      <c r="A24" s="8">
        <v>4</v>
      </c>
      <c r="B24" s="9" t="s">
        <v>55</v>
      </c>
      <c r="C24" s="10" t="s">
        <v>56</v>
      </c>
      <c r="D24" s="10" t="s">
        <v>57</v>
      </c>
      <c r="E24" s="10" t="s">
        <v>139</v>
      </c>
      <c r="F24" s="10" t="s">
        <v>59</v>
      </c>
      <c r="G24" s="10" t="s">
        <v>60</v>
      </c>
      <c r="H24" s="11">
        <v>3</v>
      </c>
      <c r="I24" s="11">
        <v>3</v>
      </c>
      <c r="J24" s="10" t="s">
        <v>117</v>
      </c>
      <c r="K24" s="12" t="s">
        <v>140</v>
      </c>
      <c r="L24" s="17" t="s">
        <v>141</v>
      </c>
      <c r="M24" s="14">
        <v>3</v>
      </c>
      <c r="N24" s="14">
        <v>0</v>
      </c>
      <c r="O24" s="14">
        <v>0</v>
      </c>
      <c r="P24" s="14">
        <v>0</v>
      </c>
      <c r="Q24" s="14">
        <v>100</v>
      </c>
      <c r="R24" s="23" t="s">
        <v>36</v>
      </c>
      <c r="S24" s="14" t="str">
        <f t="shared" si="0"/>
        <v/>
      </c>
      <c r="T24" s="14" t="str">
        <f t="shared" si="1"/>
        <v/>
      </c>
      <c r="U24" s="14" t="str">
        <f t="shared" si="2"/>
        <v/>
      </c>
    </row>
    <row r="25" spans="1:21" ht="80.099999999999994" customHeight="1">
      <c r="A25" s="8">
        <v>4</v>
      </c>
      <c r="B25" s="9" t="s">
        <v>65</v>
      </c>
      <c r="C25" s="10" t="s">
        <v>66</v>
      </c>
      <c r="D25" s="10" t="s">
        <v>67</v>
      </c>
      <c r="E25" s="10" t="s">
        <v>142</v>
      </c>
      <c r="F25" s="10" t="s">
        <v>69</v>
      </c>
      <c r="G25" s="10" t="s">
        <v>70</v>
      </c>
      <c r="H25" s="11">
        <v>3</v>
      </c>
      <c r="I25" s="11">
        <v>2</v>
      </c>
      <c r="J25" s="10" t="s">
        <v>71</v>
      </c>
      <c r="K25" s="12" t="s">
        <v>143</v>
      </c>
      <c r="L25" s="17" t="s">
        <v>144</v>
      </c>
      <c r="M25" s="14">
        <v>3</v>
      </c>
      <c r="N25" s="14">
        <v>0</v>
      </c>
      <c r="O25" s="14">
        <v>0</v>
      </c>
      <c r="P25" s="14">
        <v>100</v>
      </c>
      <c r="Q25" s="14">
        <v>0</v>
      </c>
      <c r="R25" s="23" t="s">
        <v>36</v>
      </c>
      <c r="S25" s="14" t="str">
        <f t="shared" si="0"/>
        <v/>
      </c>
      <c r="T25" s="14" t="str">
        <f t="shared" si="1"/>
        <v/>
      </c>
      <c r="U25" s="14" t="str">
        <f t="shared" si="2"/>
        <v/>
      </c>
    </row>
    <row r="26" spans="1:21" ht="32.1" customHeight="1">
      <c r="A26" s="8">
        <v>5</v>
      </c>
      <c r="B26" s="9" t="s">
        <v>17</v>
      </c>
      <c r="C26" s="10" t="s">
        <v>18</v>
      </c>
      <c r="D26" s="10" t="s">
        <v>19</v>
      </c>
      <c r="E26" s="10" t="s">
        <v>74</v>
      </c>
      <c r="F26" s="10" t="s">
        <v>21</v>
      </c>
      <c r="G26" s="10" t="s">
        <v>22</v>
      </c>
      <c r="H26" s="11">
        <v>3</v>
      </c>
      <c r="I26" s="11">
        <v>3</v>
      </c>
      <c r="J26" s="10" t="s">
        <v>145</v>
      </c>
      <c r="K26" s="12" t="s">
        <v>146</v>
      </c>
      <c r="L26" s="17" t="s">
        <v>147</v>
      </c>
      <c r="M26" s="14">
        <v>3</v>
      </c>
      <c r="N26" s="14">
        <v>0</v>
      </c>
      <c r="O26" s="14">
        <v>0</v>
      </c>
      <c r="P26" s="14">
        <v>0</v>
      </c>
      <c r="Q26" s="14">
        <v>100</v>
      </c>
      <c r="R26" s="23" t="s">
        <v>36</v>
      </c>
      <c r="S26" s="14" t="str">
        <f t="shared" si="0"/>
        <v/>
      </c>
      <c r="T26" s="14" t="str">
        <f t="shared" si="1"/>
        <v/>
      </c>
      <c r="U26" s="14" t="str">
        <f t="shared" si="2"/>
        <v/>
      </c>
    </row>
    <row r="27" spans="1:21" ht="80.099999999999994" customHeight="1">
      <c r="A27" s="8">
        <v>5</v>
      </c>
      <c r="B27" s="9" t="s">
        <v>27</v>
      </c>
      <c r="C27" s="10" t="s">
        <v>28</v>
      </c>
      <c r="D27" s="10" t="s">
        <v>29</v>
      </c>
      <c r="E27" s="10" t="s">
        <v>148</v>
      </c>
      <c r="F27" s="10" t="s">
        <v>31</v>
      </c>
      <c r="G27" s="10" t="s">
        <v>32</v>
      </c>
      <c r="H27" s="11">
        <v>1</v>
      </c>
      <c r="I27" s="11">
        <v>1</v>
      </c>
      <c r="J27" s="10" t="s">
        <v>149</v>
      </c>
      <c r="K27" s="12" t="s">
        <v>150</v>
      </c>
      <c r="L27" s="17" t="s">
        <v>151</v>
      </c>
      <c r="M27" s="14">
        <v>3</v>
      </c>
      <c r="N27" s="14">
        <v>0</v>
      </c>
      <c r="O27" s="14">
        <v>10</v>
      </c>
      <c r="P27" s="14">
        <v>30</v>
      </c>
      <c r="Q27" s="14">
        <v>60</v>
      </c>
      <c r="R27" s="23" t="s">
        <v>26</v>
      </c>
      <c r="S27" s="14" t="str">
        <f t="shared" si="0"/>
        <v/>
      </c>
      <c r="T27" s="14" t="str">
        <f t="shared" si="1"/>
        <v/>
      </c>
      <c r="U27" s="14" t="str">
        <f t="shared" si="2"/>
        <v/>
      </c>
    </row>
    <row r="28" spans="1:21" ht="104.1" customHeight="1">
      <c r="A28" s="8">
        <v>5</v>
      </c>
      <c r="B28" s="9" t="s">
        <v>37</v>
      </c>
      <c r="C28" s="10" t="s">
        <v>38</v>
      </c>
      <c r="D28" s="10" t="s">
        <v>39</v>
      </c>
      <c r="E28" s="10" t="s">
        <v>152</v>
      </c>
      <c r="F28" s="10" t="s">
        <v>41</v>
      </c>
      <c r="G28" s="10" t="s">
        <v>42</v>
      </c>
      <c r="H28" s="11">
        <v>2</v>
      </c>
      <c r="I28" s="11">
        <v>2</v>
      </c>
      <c r="J28" s="10" t="s">
        <v>153</v>
      </c>
      <c r="K28" s="12" t="s">
        <v>154</v>
      </c>
      <c r="L28" s="17" t="s">
        <v>155</v>
      </c>
      <c r="M28" s="14">
        <v>3</v>
      </c>
      <c r="N28" s="14">
        <v>0</v>
      </c>
      <c r="O28" s="14">
        <v>0</v>
      </c>
      <c r="P28" s="14">
        <v>20</v>
      </c>
      <c r="Q28" s="14">
        <v>80</v>
      </c>
      <c r="R28" s="23" t="s">
        <v>26</v>
      </c>
      <c r="S28" s="14" t="str">
        <f t="shared" si="0"/>
        <v/>
      </c>
      <c r="T28" s="14" t="str">
        <f t="shared" si="1"/>
        <v/>
      </c>
      <c r="U28" s="14" t="str">
        <f t="shared" si="2"/>
        <v/>
      </c>
    </row>
    <row r="29" spans="1:21" ht="80.099999999999994" customHeight="1">
      <c r="A29" s="8">
        <v>5</v>
      </c>
      <c r="B29" s="9" t="s">
        <v>46</v>
      </c>
      <c r="C29" s="10" t="s">
        <v>47</v>
      </c>
      <c r="D29" s="10" t="s">
        <v>48</v>
      </c>
      <c r="E29" s="10" t="s">
        <v>156</v>
      </c>
      <c r="F29" s="10" t="s">
        <v>50</v>
      </c>
      <c r="G29" s="10" t="s">
        <v>51</v>
      </c>
      <c r="H29" s="11">
        <v>3</v>
      </c>
      <c r="I29" s="11">
        <v>2</v>
      </c>
      <c r="J29" s="10" t="s">
        <v>157</v>
      </c>
      <c r="K29" s="12" t="s">
        <v>158</v>
      </c>
      <c r="L29" s="17" t="s">
        <v>159</v>
      </c>
      <c r="M29" s="14">
        <v>3</v>
      </c>
      <c r="N29" s="14">
        <v>0</v>
      </c>
      <c r="O29" s="14">
        <v>0</v>
      </c>
      <c r="P29" s="14">
        <v>100</v>
      </c>
      <c r="Q29" s="14">
        <v>0</v>
      </c>
      <c r="R29" s="23" t="s">
        <v>36</v>
      </c>
      <c r="S29" s="14" t="str">
        <f t="shared" si="0"/>
        <v/>
      </c>
      <c r="T29" s="14" t="str">
        <f t="shared" si="1"/>
        <v/>
      </c>
      <c r="U29" s="14" t="str">
        <f t="shared" si="2"/>
        <v/>
      </c>
    </row>
    <row r="30" spans="1:21" ht="92.1" customHeight="1">
      <c r="A30" s="8">
        <v>5</v>
      </c>
      <c r="B30" s="9" t="s">
        <v>55</v>
      </c>
      <c r="C30" s="10" t="s">
        <v>56</v>
      </c>
      <c r="D30" s="10" t="s">
        <v>57</v>
      </c>
      <c r="E30" s="10" t="s">
        <v>160</v>
      </c>
      <c r="F30" s="10" t="s">
        <v>59</v>
      </c>
      <c r="G30" s="10" t="s">
        <v>60</v>
      </c>
      <c r="H30" s="11">
        <v>3</v>
      </c>
      <c r="I30" s="11">
        <v>1</v>
      </c>
      <c r="J30" s="10" t="s">
        <v>161</v>
      </c>
      <c r="K30" s="12" t="s">
        <v>162</v>
      </c>
      <c r="L30" s="17" t="s">
        <v>163</v>
      </c>
      <c r="M30" s="14">
        <v>3</v>
      </c>
      <c r="N30" s="14">
        <v>0</v>
      </c>
      <c r="O30" s="14">
        <v>30</v>
      </c>
      <c r="P30" s="14" t="s">
        <v>164</v>
      </c>
      <c r="Q30" s="14" t="s">
        <v>165</v>
      </c>
      <c r="R30" s="23" t="s">
        <v>36</v>
      </c>
      <c r="S30" s="14" t="str">
        <f t="shared" si="0"/>
        <v>drop_incomplete</v>
      </c>
      <c r="T30" s="14" t="str">
        <f t="shared" si="1"/>
        <v/>
      </c>
      <c r="U30" s="14" t="str">
        <f t="shared" si="2"/>
        <v/>
      </c>
    </row>
    <row r="31" spans="1:21" ht="80.099999999999994" customHeight="1">
      <c r="A31" s="8">
        <v>5</v>
      </c>
      <c r="B31" s="9" t="s">
        <v>65</v>
      </c>
      <c r="C31" s="10" t="s">
        <v>66</v>
      </c>
      <c r="D31" s="10" t="s">
        <v>67</v>
      </c>
      <c r="E31" s="10" t="s">
        <v>166</v>
      </c>
      <c r="F31" s="10" t="s">
        <v>69</v>
      </c>
      <c r="G31" s="10" t="s">
        <v>70</v>
      </c>
      <c r="H31" s="11">
        <v>2</v>
      </c>
      <c r="I31" s="11">
        <v>1</v>
      </c>
      <c r="J31" s="10" t="s">
        <v>71</v>
      </c>
      <c r="K31" s="12" t="s">
        <v>167</v>
      </c>
      <c r="L31" s="17" t="s">
        <v>168</v>
      </c>
      <c r="M31" s="14">
        <v>3</v>
      </c>
      <c r="N31" s="14">
        <v>0</v>
      </c>
      <c r="O31" s="14">
        <v>0</v>
      </c>
      <c r="P31" s="14">
        <v>40</v>
      </c>
      <c r="Q31" s="14" t="s">
        <v>169</v>
      </c>
      <c r="R31" s="23" t="s">
        <v>26</v>
      </c>
      <c r="S31" s="14" t="str">
        <f t="shared" si="0"/>
        <v>drop_incomplete</v>
      </c>
      <c r="T31" s="14" t="str">
        <f t="shared" si="1"/>
        <v/>
      </c>
      <c r="U31" s="14" t="str">
        <f t="shared" si="2"/>
        <v/>
      </c>
    </row>
    <row r="32" spans="1:21" ht="104.1" customHeight="1">
      <c r="A32" s="8">
        <v>6</v>
      </c>
      <c r="B32" s="9" t="s">
        <v>17</v>
      </c>
      <c r="C32" s="10" t="s">
        <v>18</v>
      </c>
      <c r="D32" s="10" t="s">
        <v>19</v>
      </c>
      <c r="E32" s="10" t="s">
        <v>20</v>
      </c>
      <c r="F32" s="10" t="s">
        <v>21</v>
      </c>
      <c r="G32" s="10" t="s">
        <v>22</v>
      </c>
      <c r="H32" s="11">
        <v>2</v>
      </c>
      <c r="I32" s="11">
        <v>2</v>
      </c>
      <c r="J32" s="10" t="s">
        <v>170</v>
      </c>
      <c r="K32" s="12" t="s">
        <v>171</v>
      </c>
      <c r="L32" s="17" t="s">
        <v>172</v>
      </c>
      <c r="M32" s="14">
        <v>3</v>
      </c>
      <c r="N32" s="14">
        <v>0</v>
      </c>
      <c r="O32" s="14">
        <v>0</v>
      </c>
      <c r="P32" s="14">
        <v>20</v>
      </c>
      <c r="Q32" s="14">
        <v>80</v>
      </c>
      <c r="R32" s="23" t="s">
        <v>26</v>
      </c>
      <c r="S32" s="14" t="str">
        <f t="shared" si="0"/>
        <v/>
      </c>
      <c r="T32" s="14" t="str">
        <f t="shared" si="1"/>
        <v/>
      </c>
      <c r="U32" s="14" t="str">
        <f t="shared" si="2"/>
        <v/>
      </c>
    </row>
    <row r="33" spans="1:21" ht="80.099999999999994" customHeight="1">
      <c r="A33" s="8">
        <v>6</v>
      </c>
      <c r="B33" s="9" t="s">
        <v>27</v>
      </c>
      <c r="C33" s="10" t="s">
        <v>28</v>
      </c>
      <c r="D33" s="10" t="s">
        <v>29</v>
      </c>
      <c r="E33" s="10" t="s">
        <v>30</v>
      </c>
      <c r="F33" s="10" t="s">
        <v>31</v>
      </c>
      <c r="G33" s="10" t="s">
        <v>32</v>
      </c>
      <c r="H33" s="11">
        <v>3</v>
      </c>
      <c r="I33" s="11">
        <v>1</v>
      </c>
      <c r="J33" s="10" t="s">
        <v>173</v>
      </c>
      <c r="K33" s="12" t="s">
        <v>174</v>
      </c>
      <c r="L33" s="17" t="s">
        <v>175</v>
      </c>
      <c r="M33" s="14">
        <v>3</v>
      </c>
      <c r="N33" s="14">
        <v>0</v>
      </c>
      <c r="O33" s="14">
        <v>100</v>
      </c>
      <c r="P33" s="14">
        <v>0</v>
      </c>
      <c r="Q33" s="14">
        <v>0</v>
      </c>
      <c r="R33" s="23" t="s">
        <v>36</v>
      </c>
      <c r="S33" s="14" t="str">
        <f t="shared" si="0"/>
        <v/>
      </c>
      <c r="T33" s="14" t="str">
        <f t="shared" si="1"/>
        <v/>
      </c>
      <c r="U33" s="14" t="str">
        <f t="shared" si="2"/>
        <v/>
      </c>
    </row>
    <row r="34" spans="1:21" ht="104.1" customHeight="1">
      <c r="A34" s="8">
        <v>6</v>
      </c>
      <c r="B34" s="9" t="s">
        <v>37</v>
      </c>
      <c r="C34" s="10" t="s">
        <v>38</v>
      </c>
      <c r="D34" s="10" t="s">
        <v>39</v>
      </c>
      <c r="E34" s="10" t="s">
        <v>176</v>
      </c>
      <c r="F34" s="10" t="s">
        <v>41</v>
      </c>
      <c r="G34" s="10" t="s">
        <v>42</v>
      </c>
      <c r="H34" s="11">
        <v>2</v>
      </c>
      <c r="I34" s="11">
        <v>1</v>
      </c>
      <c r="J34" s="10" t="s">
        <v>177</v>
      </c>
      <c r="K34" s="12" t="s">
        <v>178</v>
      </c>
      <c r="L34" s="17" t="s">
        <v>179</v>
      </c>
      <c r="M34" s="14">
        <v>3</v>
      </c>
      <c r="N34" s="14">
        <v>0</v>
      </c>
      <c r="O34" s="14">
        <v>0</v>
      </c>
      <c r="P34" s="14">
        <v>40</v>
      </c>
      <c r="Q34" s="14">
        <v>60</v>
      </c>
      <c r="R34" s="23" t="s">
        <v>26</v>
      </c>
      <c r="S34" s="14" t="str">
        <f t="shared" si="0"/>
        <v/>
      </c>
      <c r="T34" s="14" t="str">
        <f t="shared" si="1"/>
        <v/>
      </c>
      <c r="U34" s="14" t="str">
        <f t="shared" si="2"/>
        <v/>
      </c>
    </row>
    <row r="35" spans="1:21" ht="68.099999999999994" customHeight="1">
      <c r="A35" s="8">
        <v>6</v>
      </c>
      <c r="B35" s="9" t="s">
        <v>46</v>
      </c>
      <c r="C35" s="10" t="s">
        <v>47</v>
      </c>
      <c r="D35" s="10" t="s">
        <v>48</v>
      </c>
      <c r="E35" s="10" t="s">
        <v>49</v>
      </c>
      <c r="F35" s="10" t="s">
        <v>50</v>
      </c>
      <c r="G35" s="10" t="s">
        <v>51</v>
      </c>
      <c r="H35" s="11">
        <v>1</v>
      </c>
      <c r="I35" s="11">
        <v>1</v>
      </c>
      <c r="J35" s="10" t="s">
        <v>180</v>
      </c>
      <c r="K35" s="12" t="s">
        <v>181</v>
      </c>
      <c r="L35" s="17" t="s">
        <v>182</v>
      </c>
      <c r="M35" s="14">
        <v>3</v>
      </c>
      <c r="N35" s="14">
        <v>0</v>
      </c>
      <c r="O35" s="14">
        <v>5</v>
      </c>
      <c r="P35" s="14">
        <v>35</v>
      </c>
      <c r="Q35" s="14" t="s">
        <v>169</v>
      </c>
      <c r="R35" s="23" t="s">
        <v>26</v>
      </c>
      <c r="S35" s="14" t="str">
        <f t="shared" si="0"/>
        <v>drop_incomplete</v>
      </c>
      <c r="T35" s="14" t="str">
        <f t="shared" si="1"/>
        <v/>
      </c>
      <c r="U35" s="14" t="str">
        <f t="shared" si="2"/>
        <v/>
      </c>
    </row>
    <row r="36" spans="1:21" ht="68.099999999999994" customHeight="1">
      <c r="A36" s="8">
        <v>6</v>
      </c>
      <c r="B36" s="9" t="s">
        <v>55</v>
      </c>
      <c r="C36" s="10" t="s">
        <v>56</v>
      </c>
      <c r="D36" s="10" t="s">
        <v>57</v>
      </c>
      <c r="E36" s="10" t="s">
        <v>116</v>
      </c>
      <c r="F36" s="10" t="s">
        <v>59</v>
      </c>
      <c r="G36" s="10" t="s">
        <v>60</v>
      </c>
      <c r="H36" s="11">
        <v>3</v>
      </c>
      <c r="I36" s="11">
        <v>2</v>
      </c>
      <c r="J36" s="10" t="s">
        <v>183</v>
      </c>
      <c r="K36" s="12" t="s">
        <v>184</v>
      </c>
      <c r="L36" s="17" t="s">
        <v>185</v>
      </c>
      <c r="M36" s="14">
        <v>3</v>
      </c>
      <c r="N36" s="14">
        <v>0</v>
      </c>
      <c r="O36" s="14">
        <v>0</v>
      </c>
      <c r="P36" s="14">
        <v>100</v>
      </c>
      <c r="Q36" s="14">
        <v>0</v>
      </c>
      <c r="R36" s="23" t="s">
        <v>36</v>
      </c>
      <c r="S36" s="14" t="str">
        <f t="shared" si="0"/>
        <v/>
      </c>
      <c r="T36" s="14" t="str">
        <f t="shared" si="1"/>
        <v/>
      </c>
      <c r="U36" s="14" t="str">
        <f t="shared" si="2"/>
        <v/>
      </c>
    </row>
    <row r="37" spans="1:21" ht="44.1" customHeight="1">
      <c r="A37" s="8">
        <v>6</v>
      </c>
      <c r="B37" s="9" t="s">
        <v>65</v>
      </c>
      <c r="C37" s="10" t="s">
        <v>66</v>
      </c>
      <c r="D37" s="10" t="s">
        <v>67</v>
      </c>
      <c r="E37" s="10" t="s">
        <v>68</v>
      </c>
      <c r="F37" s="10" t="s">
        <v>69</v>
      </c>
      <c r="G37" s="10" t="s">
        <v>70</v>
      </c>
      <c r="H37" s="11">
        <v>3</v>
      </c>
      <c r="I37" s="11">
        <v>3</v>
      </c>
      <c r="J37" s="10" t="s">
        <v>186</v>
      </c>
      <c r="K37" s="12" t="s">
        <v>187</v>
      </c>
      <c r="L37" s="17" t="s">
        <v>188</v>
      </c>
      <c r="M37" s="14">
        <v>3</v>
      </c>
      <c r="N37" s="14">
        <v>0</v>
      </c>
      <c r="O37" s="14">
        <v>0</v>
      </c>
      <c r="P37" s="14">
        <v>0</v>
      </c>
      <c r="Q37" s="14">
        <v>100</v>
      </c>
      <c r="R37" s="23" t="s">
        <v>36</v>
      </c>
      <c r="S37" s="14" t="str">
        <f t="shared" si="0"/>
        <v/>
      </c>
      <c r="T37" s="14" t="str">
        <f t="shared" si="1"/>
        <v/>
      </c>
      <c r="U37" s="14" t="str">
        <f t="shared" si="2"/>
        <v/>
      </c>
    </row>
    <row r="38" spans="1:21" ht="44.1" customHeight="1">
      <c r="A38" s="8">
        <v>7</v>
      </c>
      <c r="B38" s="9" t="s">
        <v>17</v>
      </c>
      <c r="C38" s="10" t="s">
        <v>18</v>
      </c>
      <c r="D38" s="10" t="s">
        <v>19</v>
      </c>
      <c r="E38" s="10" t="s">
        <v>100</v>
      </c>
      <c r="F38" s="10" t="s">
        <v>21</v>
      </c>
      <c r="G38" s="10" t="s">
        <v>22</v>
      </c>
      <c r="H38" s="11">
        <v>2</v>
      </c>
      <c r="I38" s="11">
        <v>1</v>
      </c>
      <c r="J38" s="10" t="s">
        <v>189</v>
      </c>
      <c r="K38" s="12" t="s">
        <v>190</v>
      </c>
      <c r="L38" s="17" t="s">
        <v>191</v>
      </c>
      <c r="M38" s="14">
        <v>3</v>
      </c>
      <c r="N38" s="14">
        <v>0</v>
      </c>
      <c r="O38" s="14">
        <v>0</v>
      </c>
      <c r="P38" s="14">
        <v>50</v>
      </c>
      <c r="Q38" s="14">
        <v>50</v>
      </c>
      <c r="R38" s="23" t="s">
        <v>26</v>
      </c>
      <c r="S38" s="14" t="str">
        <f t="shared" si="0"/>
        <v/>
      </c>
      <c r="T38" s="14" t="str">
        <f t="shared" si="1"/>
        <v/>
      </c>
      <c r="U38" s="14" t="str">
        <f t="shared" si="2"/>
        <v/>
      </c>
    </row>
    <row r="39" spans="1:21" ht="80.099999999999994" customHeight="1">
      <c r="A39" s="8">
        <v>7</v>
      </c>
      <c r="B39" s="9" t="s">
        <v>27</v>
      </c>
      <c r="C39" s="10" t="s">
        <v>28</v>
      </c>
      <c r="D39" s="10" t="s">
        <v>29</v>
      </c>
      <c r="E39" s="10" t="s">
        <v>192</v>
      </c>
      <c r="F39" s="10" t="s">
        <v>31</v>
      </c>
      <c r="G39" s="10" t="s">
        <v>32</v>
      </c>
      <c r="H39" s="11">
        <v>3</v>
      </c>
      <c r="I39" s="11">
        <v>3</v>
      </c>
      <c r="J39" s="10" t="s">
        <v>33</v>
      </c>
      <c r="K39" s="12" t="s">
        <v>193</v>
      </c>
      <c r="L39" s="17" t="s">
        <v>194</v>
      </c>
      <c r="M39" s="14">
        <v>3</v>
      </c>
      <c r="N39" s="14">
        <v>0</v>
      </c>
      <c r="O39" s="14">
        <v>0</v>
      </c>
      <c r="P39" s="14">
        <v>0</v>
      </c>
      <c r="Q39" s="14">
        <v>100</v>
      </c>
      <c r="R39" s="23" t="s">
        <v>36</v>
      </c>
      <c r="S39" s="14" t="str">
        <f t="shared" si="0"/>
        <v/>
      </c>
      <c r="T39" s="14" t="str">
        <f t="shared" si="1"/>
        <v/>
      </c>
      <c r="U39" s="14" t="str">
        <f t="shared" si="2"/>
        <v/>
      </c>
    </row>
    <row r="40" spans="1:21" ht="80.099999999999994" customHeight="1">
      <c r="A40" s="8">
        <v>7</v>
      </c>
      <c r="B40" s="9" t="s">
        <v>37</v>
      </c>
      <c r="C40" s="10" t="s">
        <v>38</v>
      </c>
      <c r="D40" s="10" t="s">
        <v>39</v>
      </c>
      <c r="E40" s="10" t="s">
        <v>152</v>
      </c>
      <c r="F40" s="10" t="s">
        <v>41</v>
      </c>
      <c r="G40" s="10" t="s">
        <v>42</v>
      </c>
      <c r="H40" s="11">
        <v>2</v>
      </c>
      <c r="I40" s="11">
        <v>2</v>
      </c>
      <c r="J40" s="10" t="s">
        <v>195</v>
      </c>
      <c r="K40" s="12" t="s">
        <v>196</v>
      </c>
      <c r="L40" s="17" t="s">
        <v>197</v>
      </c>
      <c r="M40" s="14">
        <v>3</v>
      </c>
      <c r="N40" s="14">
        <v>0</v>
      </c>
      <c r="O40" s="14">
        <v>0</v>
      </c>
      <c r="P40" s="14">
        <v>10</v>
      </c>
      <c r="Q40" s="14">
        <v>90</v>
      </c>
      <c r="R40" s="23" t="s">
        <v>26</v>
      </c>
      <c r="S40" s="14" t="str">
        <f t="shared" si="0"/>
        <v/>
      </c>
      <c r="T40" s="14" t="str">
        <f t="shared" si="1"/>
        <v/>
      </c>
      <c r="U40" s="14" t="str">
        <f t="shared" si="2"/>
        <v/>
      </c>
    </row>
    <row r="41" spans="1:21" ht="116.1" customHeight="1">
      <c r="A41" s="8">
        <v>7</v>
      </c>
      <c r="B41" s="9" t="s">
        <v>46</v>
      </c>
      <c r="C41" s="10" t="s">
        <v>47</v>
      </c>
      <c r="D41" s="10" t="s">
        <v>48</v>
      </c>
      <c r="E41" s="10" t="s">
        <v>112</v>
      </c>
      <c r="F41" s="10" t="s">
        <v>50</v>
      </c>
      <c r="G41" s="10" t="s">
        <v>51</v>
      </c>
      <c r="H41" s="11">
        <v>3</v>
      </c>
      <c r="I41" s="11">
        <v>1</v>
      </c>
      <c r="J41" s="10" t="s">
        <v>198</v>
      </c>
      <c r="K41" s="12" t="s">
        <v>199</v>
      </c>
      <c r="L41" s="17" t="s">
        <v>200</v>
      </c>
      <c r="M41" s="14">
        <v>3</v>
      </c>
      <c r="N41" s="14">
        <v>0</v>
      </c>
      <c r="O41" s="14">
        <v>10</v>
      </c>
      <c r="P41" s="14" t="s">
        <v>201</v>
      </c>
      <c r="Q41" s="14" t="s">
        <v>201</v>
      </c>
      <c r="R41" s="23" t="s">
        <v>36</v>
      </c>
      <c r="S41" s="14" t="str">
        <f t="shared" si="0"/>
        <v>drop_incomplete</v>
      </c>
      <c r="T41" s="14" t="str">
        <f t="shared" si="1"/>
        <v/>
      </c>
      <c r="U41" s="14" t="str">
        <f t="shared" si="2"/>
        <v/>
      </c>
    </row>
    <row r="42" spans="1:21" ht="80.099999999999994" customHeight="1">
      <c r="A42" s="8">
        <v>7</v>
      </c>
      <c r="B42" s="9" t="s">
        <v>55</v>
      </c>
      <c r="C42" s="10" t="s">
        <v>56</v>
      </c>
      <c r="D42" s="10" t="s">
        <v>57</v>
      </c>
      <c r="E42" s="10" t="s">
        <v>90</v>
      </c>
      <c r="F42" s="10" t="s">
        <v>59</v>
      </c>
      <c r="G42" s="10" t="s">
        <v>60</v>
      </c>
      <c r="H42" s="11">
        <v>1</v>
      </c>
      <c r="I42" s="11">
        <v>1</v>
      </c>
      <c r="J42" s="10" t="s">
        <v>202</v>
      </c>
      <c r="K42" s="12" t="s">
        <v>203</v>
      </c>
      <c r="L42" s="17" t="s">
        <v>204</v>
      </c>
      <c r="M42" s="14" t="s">
        <v>94</v>
      </c>
      <c r="N42" s="14">
        <v>0</v>
      </c>
      <c r="O42" s="14">
        <v>5</v>
      </c>
      <c r="P42" s="14">
        <v>35</v>
      </c>
      <c r="Q42" s="14">
        <v>60</v>
      </c>
      <c r="R42" s="23" t="s">
        <v>26</v>
      </c>
      <c r="S42" s="14" t="str">
        <f t="shared" si="0"/>
        <v/>
      </c>
      <c r="T42" s="14" t="str">
        <f t="shared" si="1"/>
        <v>drop_wrongPrior</v>
      </c>
      <c r="U42" s="14" t="str">
        <f t="shared" si="2"/>
        <v/>
      </c>
    </row>
    <row r="43" spans="1:21" ht="80.099999999999994" customHeight="1">
      <c r="A43" s="8">
        <v>7</v>
      </c>
      <c r="B43" s="9" t="s">
        <v>65</v>
      </c>
      <c r="C43" s="10" t="s">
        <v>66</v>
      </c>
      <c r="D43" s="10" t="s">
        <v>67</v>
      </c>
      <c r="E43" s="10" t="s">
        <v>142</v>
      </c>
      <c r="F43" s="10" t="s">
        <v>69</v>
      </c>
      <c r="G43" s="10" t="s">
        <v>70</v>
      </c>
      <c r="H43" s="11">
        <v>3</v>
      </c>
      <c r="I43" s="11">
        <v>2</v>
      </c>
      <c r="J43" s="10" t="s">
        <v>205</v>
      </c>
      <c r="K43" s="12" t="s">
        <v>206</v>
      </c>
      <c r="L43" s="17" t="s">
        <v>207</v>
      </c>
      <c r="M43" s="14">
        <v>3</v>
      </c>
      <c r="N43" s="14">
        <v>0</v>
      </c>
      <c r="O43" s="14">
        <v>0</v>
      </c>
      <c r="P43" s="14">
        <v>100</v>
      </c>
      <c r="Q43" s="14">
        <v>0</v>
      </c>
      <c r="R43" s="23" t="s">
        <v>36</v>
      </c>
      <c r="S43" s="14" t="str">
        <f t="shared" si="0"/>
        <v/>
      </c>
      <c r="T43" s="14" t="str">
        <f t="shared" si="1"/>
        <v/>
      </c>
      <c r="U43" s="14" t="str">
        <f t="shared" si="2"/>
        <v/>
      </c>
    </row>
    <row r="44" spans="1:21" ht="104.1" customHeight="1">
      <c r="A44" s="8">
        <v>8</v>
      </c>
      <c r="B44" s="9" t="s">
        <v>17</v>
      </c>
      <c r="C44" s="10" t="s">
        <v>18</v>
      </c>
      <c r="D44" s="10" t="s">
        <v>19</v>
      </c>
      <c r="E44" s="10" t="s">
        <v>100</v>
      </c>
      <c r="F44" s="10" t="s">
        <v>21</v>
      </c>
      <c r="G44" s="10" t="s">
        <v>22</v>
      </c>
      <c r="H44" s="11">
        <v>2</v>
      </c>
      <c r="I44" s="11">
        <v>1</v>
      </c>
      <c r="J44" s="10" t="s">
        <v>208</v>
      </c>
      <c r="K44" s="12" t="s">
        <v>209</v>
      </c>
      <c r="L44" s="17" t="s">
        <v>210</v>
      </c>
      <c r="M44" s="14">
        <v>3</v>
      </c>
      <c r="N44" s="14">
        <v>0</v>
      </c>
      <c r="O44" s="14">
        <v>10</v>
      </c>
      <c r="P44" s="14">
        <v>40</v>
      </c>
      <c r="Q44" s="14">
        <v>50</v>
      </c>
      <c r="R44" s="23" t="s">
        <v>26</v>
      </c>
      <c r="S44" s="14" t="str">
        <f t="shared" si="0"/>
        <v/>
      </c>
      <c r="T44" s="14" t="str">
        <f t="shared" si="1"/>
        <v/>
      </c>
      <c r="U44" s="14" t="str">
        <f t="shared" si="2"/>
        <v/>
      </c>
    </row>
    <row r="45" spans="1:21" ht="104.1" customHeight="1">
      <c r="A45" s="8">
        <v>8</v>
      </c>
      <c r="B45" s="9" t="s">
        <v>27</v>
      </c>
      <c r="C45" s="10" t="s">
        <v>28</v>
      </c>
      <c r="D45" s="10" t="s">
        <v>29</v>
      </c>
      <c r="E45" s="10" t="s">
        <v>78</v>
      </c>
      <c r="F45" s="10" t="s">
        <v>31</v>
      </c>
      <c r="G45" s="10" t="s">
        <v>32</v>
      </c>
      <c r="H45" s="11">
        <v>3</v>
      </c>
      <c r="I45" s="11">
        <v>2</v>
      </c>
      <c r="J45" s="10" t="s">
        <v>211</v>
      </c>
      <c r="K45" s="12" t="s">
        <v>212</v>
      </c>
      <c r="L45" s="17" t="s">
        <v>213</v>
      </c>
      <c r="M45" s="14">
        <v>3</v>
      </c>
      <c r="N45" s="14">
        <v>0</v>
      </c>
      <c r="O45" s="14">
        <v>0</v>
      </c>
      <c r="P45" s="14">
        <v>100</v>
      </c>
      <c r="Q45" s="14">
        <v>0</v>
      </c>
      <c r="R45" s="23" t="s">
        <v>36</v>
      </c>
      <c r="S45" s="14" t="str">
        <f t="shared" si="0"/>
        <v/>
      </c>
      <c r="T45" s="14" t="str">
        <f t="shared" si="1"/>
        <v/>
      </c>
      <c r="U45" s="14" t="str">
        <f t="shared" si="2"/>
        <v/>
      </c>
    </row>
    <row r="46" spans="1:21" ht="104.1" customHeight="1">
      <c r="A46" s="8">
        <v>8</v>
      </c>
      <c r="B46" s="9" t="s">
        <v>37</v>
      </c>
      <c r="C46" s="10" t="s">
        <v>38</v>
      </c>
      <c r="D46" s="10" t="s">
        <v>39</v>
      </c>
      <c r="E46" s="10" t="s">
        <v>108</v>
      </c>
      <c r="F46" s="10" t="s">
        <v>41</v>
      </c>
      <c r="G46" s="10" t="s">
        <v>42</v>
      </c>
      <c r="H46" s="11">
        <v>3</v>
      </c>
      <c r="I46" s="11">
        <v>3</v>
      </c>
      <c r="J46" s="10" t="s">
        <v>214</v>
      </c>
      <c r="K46" s="12" t="s">
        <v>215</v>
      </c>
      <c r="L46" s="17" t="s">
        <v>216</v>
      </c>
      <c r="M46" s="14">
        <v>3</v>
      </c>
      <c r="N46" s="14">
        <v>0</v>
      </c>
      <c r="O46" s="14">
        <v>0</v>
      </c>
      <c r="P46" s="14">
        <v>0</v>
      </c>
      <c r="Q46" s="14">
        <v>100</v>
      </c>
      <c r="R46" s="23" t="s">
        <v>36</v>
      </c>
      <c r="S46" s="14" t="str">
        <f t="shared" si="0"/>
        <v/>
      </c>
      <c r="T46" s="14" t="str">
        <f t="shared" si="1"/>
        <v/>
      </c>
      <c r="U46" s="14" t="str">
        <f t="shared" si="2"/>
        <v/>
      </c>
    </row>
    <row r="47" spans="1:21" ht="104.1" customHeight="1">
      <c r="A47" s="8">
        <v>8</v>
      </c>
      <c r="B47" s="9" t="s">
        <v>46</v>
      </c>
      <c r="C47" s="10" t="s">
        <v>47</v>
      </c>
      <c r="D47" s="10" t="s">
        <v>48</v>
      </c>
      <c r="E47" s="10" t="s">
        <v>112</v>
      </c>
      <c r="F47" s="10" t="s">
        <v>50</v>
      </c>
      <c r="G47" s="10" t="s">
        <v>51</v>
      </c>
      <c r="H47" s="11">
        <v>3</v>
      </c>
      <c r="I47" s="11">
        <v>1</v>
      </c>
      <c r="J47" s="10" t="s">
        <v>217</v>
      </c>
      <c r="K47" s="12" t="s">
        <v>218</v>
      </c>
      <c r="L47" s="17" t="s">
        <v>219</v>
      </c>
      <c r="M47" s="14">
        <v>3</v>
      </c>
      <c r="N47" s="14">
        <v>0</v>
      </c>
      <c r="O47" s="14">
        <v>80</v>
      </c>
      <c r="P47" s="14">
        <v>15</v>
      </c>
      <c r="Q47" s="14">
        <v>5</v>
      </c>
      <c r="R47" s="23" t="s">
        <v>36</v>
      </c>
      <c r="S47" s="14" t="str">
        <f t="shared" si="0"/>
        <v/>
      </c>
      <c r="T47" s="14" t="str">
        <f t="shared" si="1"/>
        <v/>
      </c>
      <c r="U47" s="14" t="str">
        <f t="shared" si="2"/>
        <v/>
      </c>
    </row>
    <row r="48" spans="1:21" ht="80.099999999999994" customHeight="1">
      <c r="A48" s="8">
        <v>8</v>
      </c>
      <c r="B48" s="9" t="s">
        <v>55</v>
      </c>
      <c r="C48" s="10" t="s">
        <v>56</v>
      </c>
      <c r="D48" s="10" t="s">
        <v>57</v>
      </c>
      <c r="E48" s="10" t="s">
        <v>90</v>
      </c>
      <c r="F48" s="10" t="s">
        <v>59</v>
      </c>
      <c r="G48" s="10" t="s">
        <v>60</v>
      </c>
      <c r="H48" s="11">
        <v>1</v>
      </c>
      <c r="I48" s="11">
        <v>1</v>
      </c>
      <c r="J48" s="10" t="s">
        <v>220</v>
      </c>
      <c r="K48" s="12" t="s">
        <v>221</v>
      </c>
      <c r="L48" s="17" t="s">
        <v>222</v>
      </c>
      <c r="M48" s="14">
        <v>3</v>
      </c>
      <c r="N48" s="14">
        <v>0</v>
      </c>
      <c r="O48" s="14">
        <v>10</v>
      </c>
      <c r="P48" s="14">
        <v>30</v>
      </c>
      <c r="Q48" s="14">
        <v>60</v>
      </c>
      <c r="R48" s="23" t="s">
        <v>26</v>
      </c>
      <c r="S48" s="14" t="str">
        <f t="shared" si="0"/>
        <v/>
      </c>
      <c r="T48" s="14" t="str">
        <f t="shared" si="1"/>
        <v/>
      </c>
      <c r="U48" s="14" t="str">
        <f t="shared" si="2"/>
        <v/>
      </c>
    </row>
    <row r="49" spans="1:21" ht="80.099999999999994" customHeight="1">
      <c r="A49" s="8">
        <v>8</v>
      </c>
      <c r="B49" s="9" t="s">
        <v>65</v>
      </c>
      <c r="C49" s="10" t="s">
        <v>66</v>
      </c>
      <c r="D49" s="10" t="s">
        <v>67</v>
      </c>
      <c r="E49" s="10" t="s">
        <v>96</v>
      </c>
      <c r="F49" s="10" t="s">
        <v>69</v>
      </c>
      <c r="G49" s="10" t="s">
        <v>70</v>
      </c>
      <c r="H49" s="11">
        <v>2</v>
      </c>
      <c r="I49" s="11">
        <v>2</v>
      </c>
      <c r="J49" s="10" t="s">
        <v>71</v>
      </c>
      <c r="K49" s="12" t="s">
        <v>223</v>
      </c>
      <c r="L49" s="17" t="s">
        <v>224</v>
      </c>
      <c r="M49" s="14">
        <v>3</v>
      </c>
      <c r="N49" s="14">
        <v>0</v>
      </c>
      <c r="O49" s="14">
        <v>0</v>
      </c>
      <c r="P49" s="14">
        <v>20</v>
      </c>
      <c r="Q49" s="14">
        <v>80</v>
      </c>
      <c r="R49" s="23" t="s">
        <v>26</v>
      </c>
      <c r="S49" s="14" t="str">
        <f t="shared" si="0"/>
        <v/>
      </c>
      <c r="T49" s="14" t="str">
        <f t="shared" si="1"/>
        <v/>
      </c>
      <c r="U49" s="14" t="str">
        <f t="shared" si="2"/>
        <v/>
      </c>
    </row>
    <row r="50" spans="1:21" ht="116.1" customHeight="1">
      <c r="A50" s="8">
        <v>9</v>
      </c>
      <c r="B50" s="9" t="s">
        <v>17</v>
      </c>
      <c r="C50" s="10" t="s">
        <v>18</v>
      </c>
      <c r="D50" s="10" t="s">
        <v>19</v>
      </c>
      <c r="E50" s="10" t="s">
        <v>20</v>
      </c>
      <c r="F50" s="10" t="s">
        <v>21</v>
      </c>
      <c r="G50" s="10" t="s">
        <v>22</v>
      </c>
      <c r="H50" s="11">
        <v>2</v>
      </c>
      <c r="I50" s="11">
        <v>2</v>
      </c>
      <c r="J50" s="10" t="s">
        <v>225</v>
      </c>
      <c r="K50" s="12" t="s">
        <v>226</v>
      </c>
      <c r="L50" s="17" t="s">
        <v>227</v>
      </c>
      <c r="M50" s="14">
        <v>3</v>
      </c>
      <c r="N50" s="14">
        <v>0</v>
      </c>
      <c r="O50" s="14">
        <v>0</v>
      </c>
      <c r="P50" s="14">
        <v>10</v>
      </c>
      <c r="Q50" s="14">
        <v>90</v>
      </c>
      <c r="R50" s="23" t="s">
        <v>26</v>
      </c>
      <c r="S50" s="14" t="str">
        <f t="shared" si="0"/>
        <v/>
      </c>
      <c r="T50" s="14" t="str">
        <f t="shared" si="1"/>
        <v/>
      </c>
      <c r="U50" s="14" t="str">
        <f t="shared" si="2"/>
        <v/>
      </c>
    </row>
    <row r="51" spans="1:21" ht="80.099999999999994" customHeight="1">
      <c r="A51" s="8">
        <v>9</v>
      </c>
      <c r="B51" s="9" t="s">
        <v>27</v>
      </c>
      <c r="C51" s="10" t="s">
        <v>28</v>
      </c>
      <c r="D51" s="10" t="s">
        <v>29</v>
      </c>
      <c r="E51" s="10" t="s">
        <v>192</v>
      </c>
      <c r="F51" s="10" t="s">
        <v>31</v>
      </c>
      <c r="G51" s="10" t="s">
        <v>32</v>
      </c>
      <c r="H51" s="11">
        <v>3</v>
      </c>
      <c r="I51" s="11">
        <v>3</v>
      </c>
      <c r="J51" s="10" t="s">
        <v>228</v>
      </c>
      <c r="K51" s="12" t="s">
        <v>229</v>
      </c>
      <c r="L51" s="17" t="s">
        <v>230</v>
      </c>
      <c r="M51" s="14">
        <v>3</v>
      </c>
      <c r="N51" s="14">
        <v>0</v>
      </c>
      <c r="O51" s="14">
        <v>0</v>
      </c>
      <c r="P51" s="14">
        <v>0</v>
      </c>
      <c r="Q51" s="14">
        <v>100</v>
      </c>
      <c r="R51" s="23" t="s">
        <v>36</v>
      </c>
      <c r="S51" s="14" t="str">
        <f t="shared" si="0"/>
        <v/>
      </c>
      <c r="T51" s="14" t="str">
        <f t="shared" si="1"/>
        <v/>
      </c>
      <c r="U51" s="14" t="str">
        <f t="shared" si="2"/>
        <v/>
      </c>
    </row>
    <row r="52" spans="1:21" ht="80.099999999999994" customHeight="1">
      <c r="A52" s="8">
        <v>9</v>
      </c>
      <c r="B52" s="9" t="s">
        <v>37</v>
      </c>
      <c r="C52" s="10" t="s">
        <v>38</v>
      </c>
      <c r="D52" s="10" t="s">
        <v>39</v>
      </c>
      <c r="E52" s="10" t="s">
        <v>176</v>
      </c>
      <c r="F52" s="10" t="s">
        <v>41</v>
      </c>
      <c r="G52" s="10" t="s">
        <v>42</v>
      </c>
      <c r="H52" s="11">
        <v>2</v>
      </c>
      <c r="I52" s="11">
        <v>1</v>
      </c>
      <c r="J52" s="10" t="s">
        <v>231</v>
      </c>
      <c r="K52" s="12" t="s">
        <v>232</v>
      </c>
      <c r="L52" s="17" t="s">
        <v>233</v>
      </c>
      <c r="M52" s="14">
        <v>3</v>
      </c>
      <c r="N52" s="14">
        <v>0</v>
      </c>
      <c r="O52" s="14">
        <v>10</v>
      </c>
      <c r="P52" s="14">
        <v>40</v>
      </c>
      <c r="Q52" s="14">
        <v>50</v>
      </c>
      <c r="R52" s="23" t="s">
        <v>26</v>
      </c>
      <c r="S52" s="14" t="str">
        <f t="shared" si="0"/>
        <v/>
      </c>
      <c r="T52" s="14" t="str">
        <f t="shared" si="1"/>
        <v/>
      </c>
      <c r="U52" s="14" t="str">
        <f t="shared" si="2"/>
        <v/>
      </c>
    </row>
    <row r="53" spans="1:21" ht="80.099999999999994" customHeight="1">
      <c r="A53" s="8">
        <v>9</v>
      </c>
      <c r="B53" s="9" t="s">
        <v>46</v>
      </c>
      <c r="C53" s="10" t="s">
        <v>47</v>
      </c>
      <c r="D53" s="10" t="s">
        <v>48</v>
      </c>
      <c r="E53" s="10" t="s">
        <v>156</v>
      </c>
      <c r="F53" s="10" t="s">
        <v>50</v>
      </c>
      <c r="G53" s="10" t="s">
        <v>51</v>
      </c>
      <c r="H53" s="11">
        <v>3</v>
      </c>
      <c r="I53" s="11">
        <v>2</v>
      </c>
      <c r="J53" s="10" t="s">
        <v>234</v>
      </c>
      <c r="K53" s="12" t="s">
        <v>235</v>
      </c>
      <c r="L53" s="17" t="s">
        <v>236</v>
      </c>
      <c r="M53" s="14">
        <v>3</v>
      </c>
      <c r="N53" s="14">
        <v>0</v>
      </c>
      <c r="O53" s="14">
        <v>0</v>
      </c>
      <c r="P53" s="14">
        <v>100</v>
      </c>
      <c r="Q53" s="14">
        <v>0</v>
      </c>
      <c r="R53" s="23" t="s">
        <v>36</v>
      </c>
      <c r="S53" s="14" t="str">
        <f t="shared" si="0"/>
        <v/>
      </c>
      <c r="T53" s="14" t="str">
        <f t="shared" si="1"/>
        <v/>
      </c>
      <c r="U53" s="14" t="str">
        <f t="shared" si="2"/>
        <v/>
      </c>
    </row>
    <row r="54" spans="1:21" ht="104.1" customHeight="1">
      <c r="A54" s="8">
        <v>9</v>
      </c>
      <c r="B54" s="9" t="s">
        <v>55</v>
      </c>
      <c r="C54" s="10" t="s">
        <v>56</v>
      </c>
      <c r="D54" s="10" t="s">
        <v>57</v>
      </c>
      <c r="E54" s="10" t="s">
        <v>160</v>
      </c>
      <c r="F54" s="10" t="s">
        <v>59</v>
      </c>
      <c r="G54" s="10" t="s">
        <v>60</v>
      </c>
      <c r="H54" s="11">
        <v>3</v>
      </c>
      <c r="I54" s="11">
        <v>1</v>
      </c>
      <c r="J54" s="10" t="s">
        <v>161</v>
      </c>
      <c r="K54" s="12" t="s">
        <v>237</v>
      </c>
      <c r="L54" s="17" t="s">
        <v>238</v>
      </c>
      <c r="M54" s="14">
        <v>3</v>
      </c>
      <c r="N54" s="14">
        <v>0</v>
      </c>
      <c r="O54" s="14">
        <v>0</v>
      </c>
      <c r="P54" s="14">
        <v>0</v>
      </c>
      <c r="Q54" s="14">
        <v>100</v>
      </c>
      <c r="R54" s="23" t="s">
        <v>36</v>
      </c>
      <c r="S54" s="14" t="str">
        <f t="shared" si="0"/>
        <v/>
      </c>
      <c r="T54" s="14" t="str">
        <f t="shared" si="1"/>
        <v/>
      </c>
      <c r="U54" s="14" t="str">
        <f t="shared" si="2"/>
        <v/>
      </c>
    </row>
    <row r="55" spans="1:21" ht="104.1" customHeight="1">
      <c r="A55" s="8">
        <v>9</v>
      </c>
      <c r="B55" s="9" t="s">
        <v>65</v>
      </c>
      <c r="C55" s="10" t="s">
        <v>66</v>
      </c>
      <c r="D55" s="10" t="s">
        <v>67</v>
      </c>
      <c r="E55" s="10" t="s">
        <v>120</v>
      </c>
      <c r="F55" s="10" t="s">
        <v>69</v>
      </c>
      <c r="G55" s="10" t="s">
        <v>70</v>
      </c>
      <c r="H55" s="11">
        <v>1</v>
      </c>
      <c r="I55" s="11">
        <v>1</v>
      </c>
      <c r="J55" s="10" t="s">
        <v>239</v>
      </c>
      <c r="K55" s="12" t="s">
        <v>240</v>
      </c>
      <c r="L55" s="17" t="s">
        <v>241</v>
      </c>
      <c r="M55" s="14">
        <v>3</v>
      </c>
      <c r="N55" s="14">
        <v>0</v>
      </c>
      <c r="O55" s="14">
        <v>5</v>
      </c>
      <c r="P55" s="14">
        <v>15</v>
      </c>
      <c r="Q55" s="14">
        <v>80</v>
      </c>
      <c r="R55" s="23" t="s">
        <v>26</v>
      </c>
      <c r="S55" s="14" t="str">
        <f t="shared" si="0"/>
        <v/>
      </c>
      <c r="T55" s="14" t="str">
        <f t="shared" si="1"/>
        <v/>
      </c>
      <c r="U55" s="14" t="str">
        <f t="shared" si="2"/>
        <v/>
      </c>
    </row>
    <row r="56" spans="1:21" ht="80.099999999999994" customHeight="1">
      <c r="A56" s="8">
        <v>10</v>
      </c>
      <c r="B56" s="9" t="s">
        <v>17</v>
      </c>
      <c r="C56" s="10" t="s">
        <v>18</v>
      </c>
      <c r="D56" s="10" t="s">
        <v>19</v>
      </c>
      <c r="E56" s="10" t="s">
        <v>242</v>
      </c>
      <c r="F56" s="10" t="s">
        <v>21</v>
      </c>
      <c r="G56" s="10" t="s">
        <v>22</v>
      </c>
      <c r="H56" s="11">
        <v>3</v>
      </c>
      <c r="I56" s="11">
        <v>2</v>
      </c>
      <c r="J56" s="10" t="s">
        <v>75</v>
      </c>
      <c r="K56" s="12" t="s">
        <v>243</v>
      </c>
      <c r="L56" s="17" t="s">
        <v>244</v>
      </c>
      <c r="M56" s="14">
        <v>3</v>
      </c>
      <c r="N56" s="14">
        <v>0</v>
      </c>
      <c r="O56" s="14">
        <v>0</v>
      </c>
      <c r="P56" s="14">
        <v>100</v>
      </c>
      <c r="Q56" s="14">
        <v>0</v>
      </c>
      <c r="R56" s="23" t="s">
        <v>36</v>
      </c>
      <c r="S56" s="14" t="str">
        <f t="shared" si="0"/>
        <v/>
      </c>
      <c r="T56" s="14" t="str">
        <f t="shared" si="1"/>
        <v/>
      </c>
      <c r="U56" s="14" t="str">
        <f t="shared" si="2"/>
        <v/>
      </c>
    </row>
    <row r="57" spans="1:21" ht="80.099999999999994" customHeight="1">
      <c r="A57" s="8">
        <v>10</v>
      </c>
      <c r="B57" s="9" t="s">
        <v>27</v>
      </c>
      <c r="C57" s="10" t="s">
        <v>28</v>
      </c>
      <c r="D57" s="10" t="s">
        <v>29</v>
      </c>
      <c r="E57" s="10" t="s">
        <v>104</v>
      </c>
      <c r="F57" s="10" t="s">
        <v>31</v>
      </c>
      <c r="G57" s="10" t="s">
        <v>32</v>
      </c>
      <c r="H57" s="11">
        <v>2</v>
      </c>
      <c r="I57" s="11">
        <v>2</v>
      </c>
      <c r="J57" s="10" t="s">
        <v>173</v>
      </c>
      <c r="K57" s="12" t="s">
        <v>245</v>
      </c>
      <c r="L57" s="17" t="s">
        <v>246</v>
      </c>
      <c r="M57" s="14">
        <v>3</v>
      </c>
      <c r="N57" s="14">
        <v>0</v>
      </c>
      <c r="O57" s="14">
        <v>0</v>
      </c>
      <c r="P57" s="14">
        <v>20</v>
      </c>
      <c r="Q57" s="14">
        <v>80</v>
      </c>
      <c r="R57" s="23" t="s">
        <v>26</v>
      </c>
      <c r="S57" s="14" t="str">
        <f t="shared" si="0"/>
        <v/>
      </c>
      <c r="T57" s="14" t="str">
        <f t="shared" si="1"/>
        <v/>
      </c>
      <c r="U57" s="14" t="str">
        <f t="shared" si="2"/>
        <v/>
      </c>
    </row>
    <row r="58" spans="1:21" ht="44.1" customHeight="1">
      <c r="A58" s="8">
        <v>10</v>
      </c>
      <c r="B58" s="9" t="s">
        <v>37</v>
      </c>
      <c r="C58" s="10" t="s">
        <v>38</v>
      </c>
      <c r="D58" s="10" t="s">
        <v>39</v>
      </c>
      <c r="E58" s="10" t="s">
        <v>82</v>
      </c>
      <c r="F58" s="10" t="s">
        <v>41</v>
      </c>
      <c r="G58" s="10" t="s">
        <v>42</v>
      </c>
      <c r="H58" s="11">
        <v>3</v>
      </c>
      <c r="I58" s="11">
        <v>1</v>
      </c>
      <c r="J58" s="10" t="s">
        <v>247</v>
      </c>
      <c r="K58" s="12" t="s">
        <v>248</v>
      </c>
      <c r="L58" s="17" t="s">
        <v>249</v>
      </c>
      <c r="M58" s="14">
        <v>3</v>
      </c>
      <c r="N58" s="14">
        <v>0</v>
      </c>
      <c r="O58" s="14">
        <v>100</v>
      </c>
      <c r="P58" s="14">
        <v>0</v>
      </c>
      <c r="Q58" s="14">
        <v>0</v>
      </c>
      <c r="R58" s="23" t="s">
        <v>36</v>
      </c>
      <c r="S58" s="14" t="str">
        <f t="shared" si="0"/>
        <v/>
      </c>
      <c r="T58" s="14" t="str">
        <f t="shared" si="1"/>
        <v/>
      </c>
      <c r="U58" s="14" t="str">
        <f t="shared" si="2"/>
        <v/>
      </c>
    </row>
    <row r="59" spans="1:21" ht="80.099999999999994" customHeight="1">
      <c r="A59" s="8">
        <v>10</v>
      </c>
      <c r="B59" s="9" t="s">
        <v>46</v>
      </c>
      <c r="C59" s="10" t="s">
        <v>47</v>
      </c>
      <c r="D59" s="10" t="s">
        <v>48</v>
      </c>
      <c r="E59" s="10" t="s">
        <v>49</v>
      </c>
      <c r="F59" s="10" t="s">
        <v>50</v>
      </c>
      <c r="G59" s="10" t="s">
        <v>51</v>
      </c>
      <c r="H59" s="11">
        <v>1</v>
      </c>
      <c r="I59" s="11">
        <v>1</v>
      </c>
      <c r="J59" s="10" t="s">
        <v>250</v>
      </c>
      <c r="K59" s="12" t="s">
        <v>251</v>
      </c>
      <c r="L59" s="17" t="s">
        <v>252</v>
      </c>
      <c r="M59" s="14">
        <v>3</v>
      </c>
      <c r="N59" s="14">
        <v>0</v>
      </c>
      <c r="O59" s="14">
        <v>10</v>
      </c>
      <c r="P59" s="14">
        <v>30</v>
      </c>
      <c r="Q59" s="14">
        <v>60</v>
      </c>
      <c r="R59" s="23" t="s">
        <v>26</v>
      </c>
      <c r="S59" s="14" t="str">
        <f t="shared" si="0"/>
        <v/>
      </c>
      <c r="T59" s="14" t="str">
        <f t="shared" si="1"/>
        <v/>
      </c>
      <c r="U59" s="14" t="str">
        <f t="shared" si="2"/>
        <v/>
      </c>
    </row>
    <row r="60" spans="1:21" ht="80.099999999999994" customHeight="1">
      <c r="A60" s="8">
        <v>10</v>
      </c>
      <c r="B60" s="9" t="s">
        <v>55</v>
      </c>
      <c r="C60" s="10" t="s">
        <v>56</v>
      </c>
      <c r="D60" s="10" t="s">
        <v>57</v>
      </c>
      <c r="E60" s="10" t="s">
        <v>139</v>
      </c>
      <c r="F60" s="10" t="s">
        <v>59</v>
      </c>
      <c r="G60" s="10" t="s">
        <v>60</v>
      </c>
      <c r="H60" s="11">
        <v>3</v>
      </c>
      <c r="I60" s="11">
        <v>3</v>
      </c>
      <c r="J60" s="10" t="s">
        <v>253</v>
      </c>
      <c r="K60" s="12" t="s">
        <v>254</v>
      </c>
      <c r="L60" s="17" t="s">
        <v>255</v>
      </c>
      <c r="M60" s="14">
        <v>3</v>
      </c>
      <c r="N60" s="14">
        <v>0</v>
      </c>
      <c r="O60" s="14">
        <v>0</v>
      </c>
      <c r="P60" s="14">
        <v>0</v>
      </c>
      <c r="Q60" s="14">
        <v>100</v>
      </c>
      <c r="R60" s="23" t="s">
        <v>36</v>
      </c>
      <c r="S60" s="14" t="str">
        <f t="shared" si="0"/>
        <v/>
      </c>
      <c r="T60" s="14" t="str">
        <f t="shared" si="1"/>
        <v/>
      </c>
      <c r="U60" s="14" t="str">
        <f t="shared" si="2"/>
        <v/>
      </c>
    </row>
    <row r="61" spans="1:21" ht="80.099999999999994" customHeight="1">
      <c r="A61" s="8">
        <v>10</v>
      </c>
      <c r="B61" s="9" t="s">
        <v>65</v>
      </c>
      <c r="C61" s="10" t="s">
        <v>66</v>
      </c>
      <c r="D61" s="10" t="s">
        <v>67</v>
      </c>
      <c r="E61" s="10" t="s">
        <v>166</v>
      </c>
      <c r="F61" s="10" t="s">
        <v>69</v>
      </c>
      <c r="G61" s="10" t="s">
        <v>70</v>
      </c>
      <c r="H61" s="11">
        <v>2</v>
      </c>
      <c r="I61" s="11">
        <v>1</v>
      </c>
      <c r="J61" s="10" t="s">
        <v>71</v>
      </c>
      <c r="K61" s="12" t="s">
        <v>256</v>
      </c>
      <c r="L61" s="17" t="s">
        <v>257</v>
      </c>
      <c r="M61" s="14">
        <v>3</v>
      </c>
      <c r="N61" s="14">
        <v>0</v>
      </c>
      <c r="O61" s="14">
        <v>0</v>
      </c>
      <c r="P61" s="14">
        <v>20</v>
      </c>
      <c r="Q61" s="14">
        <v>80</v>
      </c>
      <c r="R61" s="23" t="s">
        <v>26</v>
      </c>
      <c r="S61" s="14" t="str">
        <f t="shared" si="0"/>
        <v/>
      </c>
      <c r="T61" s="14" t="str">
        <f t="shared" si="1"/>
        <v/>
      </c>
      <c r="U61" s="14" t="str">
        <f t="shared" si="2"/>
        <v/>
      </c>
    </row>
    <row r="62" spans="1:21" ht="80.099999999999994" customHeight="1">
      <c r="A62" s="8">
        <v>11</v>
      </c>
      <c r="B62" s="9" t="s">
        <v>17</v>
      </c>
      <c r="C62" s="10" t="s">
        <v>18</v>
      </c>
      <c r="D62" s="10" t="s">
        <v>19</v>
      </c>
      <c r="E62" s="10" t="s">
        <v>125</v>
      </c>
      <c r="F62" s="10" t="s">
        <v>21</v>
      </c>
      <c r="G62" s="10" t="s">
        <v>22</v>
      </c>
      <c r="H62" s="11">
        <v>3</v>
      </c>
      <c r="I62" s="11">
        <v>1</v>
      </c>
      <c r="J62" s="10" t="s">
        <v>258</v>
      </c>
      <c r="K62" s="12" t="s">
        <v>259</v>
      </c>
      <c r="L62" s="17" t="s">
        <v>260</v>
      </c>
      <c r="M62" s="14">
        <v>3</v>
      </c>
      <c r="N62" s="14">
        <v>0</v>
      </c>
      <c r="O62" s="14">
        <v>100</v>
      </c>
      <c r="P62" s="14">
        <v>0</v>
      </c>
      <c r="Q62" s="14">
        <v>0</v>
      </c>
      <c r="R62" s="23" t="s">
        <v>36</v>
      </c>
      <c r="S62" s="14" t="str">
        <f t="shared" si="0"/>
        <v/>
      </c>
      <c r="T62" s="14" t="str">
        <f t="shared" si="1"/>
        <v/>
      </c>
      <c r="U62" s="14" t="str">
        <f t="shared" si="2"/>
        <v/>
      </c>
    </row>
    <row r="63" spans="1:21" ht="80.099999999999994" customHeight="1">
      <c r="A63" s="8">
        <v>11</v>
      </c>
      <c r="B63" s="9" t="s">
        <v>27</v>
      </c>
      <c r="C63" s="10" t="s">
        <v>28</v>
      </c>
      <c r="D63" s="10" t="s">
        <v>29</v>
      </c>
      <c r="E63" s="10" t="s">
        <v>261</v>
      </c>
      <c r="F63" s="10" t="s">
        <v>31</v>
      </c>
      <c r="G63" s="10" t="s">
        <v>32</v>
      </c>
      <c r="H63" s="11">
        <v>2</v>
      </c>
      <c r="I63" s="11">
        <v>1</v>
      </c>
      <c r="J63" s="10" t="s">
        <v>262</v>
      </c>
      <c r="K63" s="12" t="s">
        <v>263</v>
      </c>
      <c r="L63" s="17" t="s">
        <v>264</v>
      </c>
      <c r="M63" s="14">
        <v>3</v>
      </c>
      <c r="N63" s="14">
        <v>0</v>
      </c>
      <c r="O63" s="14">
        <v>0</v>
      </c>
      <c r="P63" s="14">
        <v>20</v>
      </c>
      <c r="Q63" s="14">
        <v>80</v>
      </c>
      <c r="R63" s="23" t="s">
        <v>26</v>
      </c>
      <c r="S63" s="14" t="str">
        <f t="shared" si="0"/>
        <v/>
      </c>
      <c r="T63" s="14" t="str">
        <f t="shared" si="1"/>
        <v/>
      </c>
      <c r="U63" s="14" t="str">
        <f t="shared" si="2"/>
        <v/>
      </c>
    </row>
    <row r="64" spans="1:21" ht="128.1" customHeight="1">
      <c r="A64" s="8">
        <v>11</v>
      </c>
      <c r="B64" s="9" t="s">
        <v>37</v>
      </c>
      <c r="C64" s="10" t="s">
        <v>38</v>
      </c>
      <c r="D64" s="10" t="s">
        <v>39</v>
      </c>
      <c r="E64" s="10" t="s">
        <v>152</v>
      </c>
      <c r="F64" s="10" t="s">
        <v>41</v>
      </c>
      <c r="G64" s="10" t="s">
        <v>42</v>
      </c>
      <c r="H64" s="11">
        <v>2</v>
      </c>
      <c r="I64" s="11">
        <v>2</v>
      </c>
      <c r="J64" s="10" t="s">
        <v>265</v>
      </c>
      <c r="K64" s="12" t="s">
        <v>266</v>
      </c>
      <c r="L64" s="17" t="s">
        <v>267</v>
      </c>
      <c r="M64" s="14">
        <v>3</v>
      </c>
      <c r="N64" s="14">
        <v>0</v>
      </c>
      <c r="O64" s="14">
        <v>0</v>
      </c>
      <c r="P64" s="14">
        <v>20</v>
      </c>
      <c r="Q64" s="14">
        <v>80</v>
      </c>
      <c r="R64" s="23" t="s">
        <v>26</v>
      </c>
      <c r="S64" s="14" t="str">
        <f t="shared" si="0"/>
        <v/>
      </c>
      <c r="T64" s="14" t="str">
        <f t="shared" si="1"/>
        <v/>
      </c>
      <c r="U64" s="14" t="str">
        <f t="shared" si="2"/>
        <v/>
      </c>
    </row>
    <row r="65" spans="1:21" ht="104.1" customHeight="1">
      <c r="A65" s="8">
        <v>11</v>
      </c>
      <c r="B65" s="9" t="s">
        <v>46</v>
      </c>
      <c r="C65" s="10" t="s">
        <v>47</v>
      </c>
      <c r="D65" s="10" t="s">
        <v>48</v>
      </c>
      <c r="E65" s="10" t="s">
        <v>49</v>
      </c>
      <c r="F65" s="10" t="s">
        <v>50</v>
      </c>
      <c r="G65" s="10" t="s">
        <v>51</v>
      </c>
      <c r="H65" s="11">
        <v>1</v>
      </c>
      <c r="I65" s="11">
        <v>1</v>
      </c>
      <c r="J65" s="10" t="s">
        <v>268</v>
      </c>
      <c r="K65" s="12" t="s">
        <v>269</v>
      </c>
      <c r="L65" s="17" t="s">
        <v>270</v>
      </c>
      <c r="M65" s="14">
        <v>3</v>
      </c>
      <c r="N65" s="14">
        <v>0</v>
      </c>
      <c r="O65" s="14">
        <v>10</v>
      </c>
      <c r="P65" s="14">
        <v>30</v>
      </c>
      <c r="Q65" s="14">
        <v>60</v>
      </c>
      <c r="R65" s="23" t="s">
        <v>26</v>
      </c>
      <c r="S65" s="14" t="str">
        <f t="shared" si="0"/>
        <v/>
      </c>
      <c r="T65" s="14" t="str">
        <f t="shared" si="1"/>
        <v/>
      </c>
      <c r="U65" s="14" t="str">
        <f t="shared" si="2"/>
        <v/>
      </c>
    </row>
    <row r="66" spans="1:21" ht="104.1" customHeight="1">
      <c r="A66" s="8">
        <v>11</v>
      </c>
      <c r="B66" s="9" t="s">
        <v>55</v>
      </c>
      <c r="C66" s="10" t="s">
        <v>56</v>
      </c>
      <c r="D66" s="10" t="s">
        <v>57</v>
      </c>
      <c r="E66" s="10" t="s">
        <v>139</v>
      </c>
      <c r="F66" s="10" t="s">
        <v>59</v>
      </c>
      <c r="G66" s="10" t="s">
        <v>60</v>
      </c>
      <c r="H66" s="11">
        <v>3</v>
      </c>
      <c r="I66" s="11">
        <v>3</v>
      </c>
      <c r="J66" s="10" t="s">
        <v>271</v>
      </c>
      <c r="K66" s="12" t="s">
        <v>272</v>
      </c>
      <c r="L66" s="17" t="s">
        <v>273</v>
      </c>
      <c r="M66" s="14">
        <v>3</v>
      </c>
      <c r="N66" s="14">
        <v>0</v>
      </c>
      <c r="O66" s="14">
        <v>0</v>
      </c>
      <c r="P66" s="14">
        <v>0</v>
      </c>
      <c r="Q66" s="14">
        <v>100</v>
      </c>
      <c r="R66" s="23" t="s">
        <v>36</v>
      </c>
      <c r="S66" s="14" t="str">
        <f t="shared" si="0"/>
        <v/>
      </c>
      <c r="T66" s="14" t="str">
        <f t="shared" si="1"/>
        <v/>
      </c>
      <c r="U66" s="14" t="str">
        <f t="shared" si="2"/>
        <v/>
      </c>
    </row>
    <row r="67" spans="1:21" ht="80.099999999999994" customHeight="1">
      <c r="A67" s="8">
        <v>11</v>
      </c>
      <c r="B67" s="9" t="s">
        <v>65</v>
      </c>
      <c r="C67" s="10" t="s">
        <v>66</v>
      </c>
      <c r="D67" s="10" t="s">
        <v>67</v>
      </c>
      <c r="E67" s="10" t="s">
        <v>142</v>
      </c>
      <c r="F67" s="10" t="s">
        <v>69</v>
      </c>
      <c r="G67" s="10" t="s">
        <v>70</v>
      </c>
      <c r="H67" s="11">
        <v>3</v>
      </c>
      <c r="I67" s="11">
        <v>2</v>
      </c>
      <c r="J67" s="10" t="s">
        <v>274</v>
      </c>
      <c r="K67" s="12" t="s">
        <v>275</v>
      </c>
      <c r="L67" s="17" t="s">
        <v>276</v>
      </c>
      <c r="M67" s="14">
        <v>3</v>
      </c>
      <c r="N67" s="14">
        <v>0</v>
      </c>
      <c r="O67" s="14">
        <v>0</v>
      </c>
      <c r="P67" s="14">
        <v>100</v>
      </c>
      <c r="Q67" s="14">
        <v>0</v>
      </c>
      <c r="R67" s="23" t="s">
        <v>36</v>
      </c>
      <c r="S67" s="14" t="str">
        <f t="shared" ref="S67:S130" si="3">IF(AND(ISNUMBER(N67), ISNUMBER(O67), ISNUMBER(P67), ISNUMBER(Q67)), "", "drop_incomplete")</f>
        <v/>
      </c>
      <c r="T67" s="14" t="str">
        <f t="shared" ref="T67:T130" si="4">IF(M67 &lt;&gt; 3, "drop_wrongPrior", "")</f>
        <v/>
      </c>
      <c r="U67" s="14" t="str">
        <f t="shared" ref="U67:U130" si="5">IF(AND(H67 = 3, R67 &lt;&gt; "Y"), "wrongKnowledge",
    IF(OR(R67 = "uncertain", R67 = "uncertain N"), "wrongKnowledge",
       IF(AND(H67 &lt;&gt; 3, R67 = "Y"), "wrongKnowledge", "")))</f>
        <v/>
      </c>
    </row>
    <row r="68" spans="1:21" ht="104.1" customHeight="1">
      <c r="A68" s="8">
        <v>12</v>
      </c>
      <c r="B68" s="9" t="s">
        <v>17</v>
      </c>
      <c r="C68" s="10" t="s">
        <v>18</v>
      </c>
      <c r="D68" s="10" t="s">
        <v>19</v>
      </c>
      <c r="E68" s="10" t="s">
        <v>242</v>
      </c>
      <c r="F68" s="10" t="s">
        <v>21</v>
      </c>
      <c r="G68" s="10" t="s">
        <v>22</v>
      </c>
      <c r="H68" s="11">
        <v>3</v>
      </c>
      <c r="I68" s="11">
        <v>2</v>
      </c>
      <c r="J68" s="10" t="s">
        <v>277</v>
      </c>
      <c r="K68" s="12" t="s">
        <v>278</v>
      </c>
      <c r="L68" s="17" t="s">
        <v>279</v>
      </c>
      <c r="M68" s="14">
        <v>3</v>
      </c>
      <c r="N68" s="14">
        <v>0</v>
      </c>
      <c r="O68" s="14">
        <v>0</v>
      </c>
      <c r="P68" s="14">
        <v>100</v>
      </c>
      <c r="Q68" s="14">
        <v>0</v>
      </c>
      <c r="R68" s="23" t="s">
        <v>36</v>
      </c>
      <c r="S68" s="14" t="str">
        <f t="shared" si="3"/>
        <v/>
      </c>
      <c r="T68" s="14" t="str">
        <f t="shared" si="4"/>
        <v/>
      </c>
      <c r="U68" s="14" t="str">
        <f t="shared" si="5"/>
        <v/>
      </c>
    </row>
    <row r="69" spans="1:21" ht="80.099999999999994" customHeight="1">
      <c r="A69" s="8">
        <v>12</v>
      </c>
      <c r="B69" s="9" t="s">
        <v>27</v>
      </c>
      <c r="C69" s="10" t="s">
        <v>28</v>
      </c>
      <c r="D69" s="10" t="s">
        <v>29</v>
      </c>
      <c r="E69" s="10" t="s">
        <v>261</v>
      </c>
      <c r="F69" s="10" t="s">
        <v>31</v>
      </c>
      <c r="G69" s="10" t="s">
        <v>32</v>
      </c>
      <c r="H69" s="11">
        <v>2</v>
      </c>
      <c r="I69" s="11">
        <v>1</v>
      </c>
      <c r="J69" s="10" t="s">
        <v>280</v>
      </c>
      <c r="K69" s="12" t="s">
        <v>281</v>
      </c>
      <c r="L69" s="17" t="s">
        <v>282</v>
      </c>
      <c r="M69" s="14">
        <v>3</v>
      </c>
      <c r="N69" s="14">
        <v>0</v>
      </c>
      <c r="O69" s="14">
        <v>0</v>
      </c>
      <c r="P69" s="14">
        <v>50</v>
      </c>
      <c r="Q69" s="14">
        <v>50</v>
      </c>
      <c r="R69" s="23" t="s">
        <v>26</v>
      </c>
      <c r="S69" s="14" t="str">
        <f t="shared" si="3"/>
        <v/>
      </c>
      <c r="T69" s="14" t="str">
        <f t="shared" si="4"/>
        <v/>
      </c>
      <c r="U69" s="14" t="str">
        <f t="shared" si="5"/>
        <v/>
      </c>
    </row>
    <row r="70" spans="1:21" ht="128.1" customHeight="1">
      <c r="A70" s="8">
        <v>12</v>
      </c>
      <c r="B70" s="9" t="s">
        <v>37</v>
      </c>
      <c r="C70" s="10" t="s">
        <v>38</v>
      </c>
      <c r="D70" s="10" t="s">
        <v>39</v>
      </c>
      <c r="E70" s="10" t="s">
        <v>132</v>
      </c>
      <c r="F70" s="10" t="s">
        <v>41</v>
      </c>
      <c r="G70" s="10" t="s">
        <v>42</v>
      </c>
      <c r="H70" s="11">
        <v>1</v>
      </c>
      <c r="I70" s="11">
        <v>1</v>
      </c>
      <c r="J70" s="10" t="s">
        <v>283</v>
      </c>
      <c r="K70" s="12" t="s">
        <v>284</v>
      </c>
      <c r="L70" s="17" t="s">
        <v>285</v>
      </c>
      <c r="M70" s="14">
        <v>3</v>
      </c>
      <c r="N70" s="14">
        <v>0</v>
      </c>
      <c r="O70" s="14">
        <v>10</v>
      </c>
      <c r="P70" s="14">
        <v>30</v>
      </c>
      <c r="Q70" s="14">
        <v>60</v>
      </c>
      <c r="R70" s="23" t="s">
        <v>26</v>
      </c>
      <c r="S70" s="14" t="str">
        <f t="shared" si="3"/>
        <v/>
      </c>
      <c r="T70" s="14" t="str">
        <f t="shared" si="4"/>
        <v/>
      </c>
      <c r="U70" s="14" t="str">
        <f t="shared" si="5"/>
        <v/>
      </c>
    </row>
    <row r="71" spans="1:21" ht="128.1" customHeight="1">
      <c r="A71" s="8">
        <v>12</v>
      </c>
      <c r="B71" s="9" t="s">
        <v>46</v>
      </c>
      <c r="C71" s="10" t="s">
        <v>47</v>
      </c>
      <c r="D71" s="10" t="s">
        <v>48</v>
      </c>
      <c r="E71" s="10" t="s">
        <v>286</v>
      </c>
      <c r="F71" s="10" t="s">
        <v>50</v>
      </c>
      <c r="G71" s="10" t="s">
        <v>51</v>
      </c>
      <c r="H71" s="11">
        <v>2</v>
      </c>
      <c r="I71" s="11">
        <v>2</v>
      </c>
      <c r="J71" s="10" t="s">
        <v>287</v>
      </c>
      <c r="K71" s="12" t="s">
        <v>288</v>
      </c>
      <c r="L71" s="17" t="s">
        <v>289</v>
      </c>
      <c r="M71" s="14">
        <v>3</v>
      </c>
      <c r="N71" s="14">
        <v>0</v>
      </c>
      <c r="O71" s="14">
        <v>0</v>
      </c>
      <c r="P71" s="14">
        <v>10</v>
      </c>
      <c r="Q71" s="14">
        <v>90</v>
      </c>
      <c r="R71" s="23" t="s">
        <v>26</v>
      </c>
      <c r="S71" s="14" t="str">
        <f t="shared" si="3"/>
        <v/>
      </c>
      <c r="T71" s="14" t="str">
        <f t="shared" si="4"/>
        <v/>
      </c>
      <c r="U71" s="14" t="str">
        <f t="shared" si="5"/>
        <v/>
      </c>
    </row>
    <row r="72" spans="1:21" ht="92.1" customHeight="1">
      <c r="A72" s="8">
        <v>12</v>
      </c>
      <c r="B72" s="9" t="s">
        <v>55</v>
      </c>
      <c r="C72" s="10" t="s">
        <v>56</v>
      </c>
      <c r="D72" s="10" t="s">
        <v>57</v>
      </c>
      <c r="E72" s="10" t="s">
        <v>160</v>
      </c>
      <c r="F72" s="10" t="s">
        <v>59</v>
      </c>
      <c r="G72" s="10" t="s">
        <v>60</v>
      </c>
      <c r="H72" s="11">
        <v>3</v>
      </c>
      <c r="I72" s="11">
        <v>1</v>
      </c>
      <c r="J72" s="10" t="s">
        <v>290</v>
      </c>
      <c r="K72" s="12" t="s">
        <v>291</v>
      </c>
      <c r="L72" s="17" t="s">
        <v>292</v>
      </c>
      <c r="M72" s="14">
        <v>3</v>
      </c>
      <c r="N72" s="14">
        <v>0</v>
      </c>
      <c r="O72" s="14">
        <v>40</v>
      </c>
      <c r="P72" s="14">
        <v>30</v>
      </c>
      <c r="Q72" s="14" t="s">
        <v>293</v>
      </c>
      <c r="R72" s="23" t="s">
        <v>36</v>
      </c>
      <c r="S72" s="14" t="str">
        <f t="shared" si="3"/>
        <v>drop_incomplete</v>
      </c>
      <c r="T72" s="14" t="str">
        <f t="shared" si="4"/>
        <v/>
      </c>
      <c r="U72" s="14" t="str">
        <f t="shared" si="5"/>
        <v/>
      </c>
    </row>
    <row r="73" spans="1:21" ht="80.099999999999994" customHeight="1">
      <c r="A73" s="8">
        <v>12</v>
      </c>
      <c r="B73" s="9" t="s">
        <v>65</v>
      </c>
      <c r="C73" s="10" t="s">
        <v>66</v>
      </c>
      <c r="D73" s="10" t="s">
        <v>67</v>
      </c>
      <c r="E73" s="10" t="s">
        <v>68</v>
      </c>
      <c r="F73" s="10" t="s">
        <v>69</v>
      </c>
      <c r="G73" s="10" t="s">
        <v>70</v>
      </c>
      <c r="H73" s="11">
        <v>3</v>
      </c>
      <c r="I73" s="11">
        <v>3</v>
      </c>
      <c r="J73" s="10" t="s">
        <v>294</v>
      </c>
      <c r="K73" s="12" t="s">
        <v>295</v>
      </c>
      <c r="L73" s="17" t="s">
        <v>296</v>
      </c>
      <c r="M73" s="14">
        <v>3</v>
      </c>
      <c r="N73" s="14">
        <v>0</v>
      </c>
      <c r="O73" s="14">
        <v>0</v>
      </c>
      <c r="P73" s="14">
        <v>0</v>
      </c>
      <c r="Q73" s="14">
        <v>100</v>
      </c>
      <c r="R73" s="23" t="s">
        <v>36</v>
      </c>
      <c r="S73" s="14" t="str">
        <f t="shared" si="3"/>
        <v/>
      </c>
      <c r="T73" s="14" t="str">
        <f t="shared" si="4"/>
        <v/>
      </c>
      <c r="U73" s="14" t="str">
        <f t="shared" si="5"/>
        <v/>
      </c>
    </row>
    <row r="74" spans="1:21" ht="80.099999999999994" customHeight="1">
      <c r="A74" s="8">
        <v>13</v>
      </c>
      <c r="B74" s="9" t="s">
        <v>17</v>
      </c>
      <c r="C74" s="10" t="s">
        <v>18</v>
      </c>
      <c r="D74" s="10" t="s">
        <v>19</v>
      </c>
      <c r="E74" s="10" t="s">
        <v>125</v>
      </c>
      <c r="F74" s="10" t="s">
        <v>21</v>
      </c>
      <c r="G74" s="10" t="s">
        <v>22</v>
      </c>
      <c r="H74" s="11">
        <v>3</v>
      </c>
      <c r="I74" s="11">
        <v>1</v>
      </c>
      <c r="J74" s="10" t="s">
        <v>297</v>
      </c>
      <c r="K74" s="12" t="s">
        <v>298</v>
      </c>
      <c r="L74" s="17" t="s">
        <v>299</v>
      </c>
      <c r="M74" s="14">
        <v>3</v>
      </c>
      <c r="N74" s="14">
        <v>0</v>
      </c>
      <c r="O74" s="14">
        <v>20</v>
      </c>
      <c r="P74" s="14">
        <v>40</v>
      </c>
      <c r="Q74" s="14">
        <v>40</v>
      </c>
      <c r="R74" s="23" t="s">
        <v>36</v>
      </c>
      <c r="S74" s="14" t="str">
        <f t="shared" si="3"/>
        <v/>
      </c>
      <c r="T74" s="14" t="str">
        <f t="shared" si="4"/>
        <v/>
      </c>
      <c r="U74" s="14" t="str">
        <f t="shared" si="5"/>
        <v/>
      </c>
    </row>
    <row r="75" spans="1:21" ht="92.1" customHeight="1">
      <c r="A75" s="8">
        <v>13</v>
      </c>
      <c r="B75" s="9" t="s">
        <v>27</v>
      </c>
      <c r="C75" s="10" t="s">
        <v>28</v>
      </c>
      <c r="D75" s="10" t="s">
        <v>29</v>
      </c>
      <c r="E75" s="10" t="s">
        <v>261</v>
      </c>
      <c r="F75" s="10" t="s">
        <v>31</v>
      </c>
      <c r="G75" s="10" t="s">
        <v>32</v>
      </c>
      <c r="H75" s="11">
        <v>2</v>
      </c>
      <c r="I75" s="11">
        <v>1</v>
      </c>
      <c r="J75" s="10" t="s">
        <v>300</v>
      </c>
      <c r="K75" s="12" t="s">
        <v>301</v>
      </c>
      <c r="L75" s="17" t="s">
        <v>302</v>
      </c>
      <c r="M75" s="14">
        <v>3</v>
      </c>
      <c r="N75" s="14">
        <v>0</v>
      </c>
      <c r="O75" s="14">
        <v>10</v>
      </c>
      <c r="P75" s="14">
        <v>60</v>
      </c>
      <c r="Q75" s="14">
        <v>30</v>
      </c>
      <c r="R75" s="23" t="s">
        <v>26</v>
      </c>
      <c r="S75" s="14" t="str">
        <f t="shared" si="3"/>
        <v/>
      </c>
      <c r="T75" s="14" t="str">
        <f t="shared" si="4"/>
        <v/>
      </c>
      <c r="U75" s="14" t="str">
        <f t="shared" si="5"/>
        <v/>
      </c>
    </row>
    <row r="76" spans="1:21" ht="104.1" customHeight="1">
      <c r="A76" s="8">
        <v>13</v>
      </c>
      <c r="B76" s="9" t="s">
        <v>37</v>
      </c>
      <c r="C76" s="10" t="s">
        <v>38</v>
      </c>
      <c r="D76" s="10" t="s">
        <v>39</v>
      </c>
      <c r="E76" s="10" t="s">
        <v>152</v>
      </c>
      <c r="F76" s="10" t="s">
        <v>41</v>
      </c>
      <c r="G76" s="10" t="s">
        <v>42</v>
      </c>
      <c r="H76" s="11">
        <v>2</v>
      </c>
      <c r="I76" s="11">
        <v>2</v>
      </c>
      <c r="J76" s="10" t="s">
        <v>303</v>
      </c>
      <c r="K76" s="12" t="s">
        <v>304</v>
      </c>
      <c r="L76" s="17" t="s">
        <v>305</v>
      </c>
      <c r="M76" s="14">
        <v>3</v>
      </c>
      <c r="N76" s="14">
        <v>0</v>
      </c>
      <c r="O76" s="14">
        <v>0</v>
      </c>
      <c r="P76" s="14">
        <v>20</v>
      </c>
      <c r="Q76" s="14" t="s">
        <v>306</v>
      </c>
      <c r="R76" s="23" t="s">
        <v>26</v>
      </c>
      <c r="S76" s="14" t="str">
        <f t="shared" si="3"/>
        <v>drop_incomplete</v>
      </c>
      <c r="T76" s="14" t="str">
        <f t="shared" si="4"/>
        <v/>
      </c>
      <c r="U76" s="14" t="str">
        <f t="shared" si="5"/>
        <v/>
      </c>
    </row>
    <row r="77" spans="1:21" ht="92.1" customHeight="1">
      <c r="A77" s="8">
        <v>13</v>
      </c>
      <c r="B77" s="9" t="s">
        <v>46</v>
      </c>
      <c r="C77" s="10" t="s">
        <v>47</v>
      </c>
      <c r="D77" s="10" t="s">
        <v>48</v>
      </c>
      <c r="E77" s="10" t="s">
        <v>307</v>
      </c>
      <c r="F77" s="10" t="s">
        <v>50</v>
      </c>
      <c r="G77" s="10" t="s">
        <v>51</v>
      </c>
      <c r="H77" s="11">
        <v>3</v>
      </c>
      <c r="I77" s="11">
        <v>3</v>
      </c>
      <c r="J77" s="10" t="s">
        <v>308</v>
      </c>
      <c r="K77" s="12" t="s">
        <v>309</v>
      </c>
      <c r="L77" s="17" t="s">
        <v>310</v>
      </c>
      <c r="M77" s="14">
        <v>3</v>
      </c>
      <c r="N77" s="14">
        <v>0</v>
      </c>
      <c r="O77" s="14">
        <v>0</v>
      </c>
      <c r="P77" s="14">
        <v>0</v>
      </c>
      <c r="Q77" s="14">
        <v>100</v>
      </c>
      <c r="R77" s="23" t="s">
        <v>36</v>
      </c>
      <c r="S77" s="14" t="str">
        <f t="shared" si="3"/>
        <v/>
      </c>
      <c r="T77" s="14" t="str">
        <f t="shared" si="4"/>
        <v/>
      </c>
      <c r="U77" s="14" t="str">
        <f t="shared" si="5"/>
        <v/>
      </c>
    </row>
    <row r="78" spans="1:21" ht="104.1" customHeight="1">
      <c r="A78" s="8">
        <v>13</v>
      </c>
      <c r="B78" s="9" t="s">
        <v>55</v>
      </c>
      <c r="C78" s="10" t="s">
        <v>56</v>
      </c>
      <c r="D78" s="10" t="s">
        <v>57</v>
      </c>
      <c r="E78" s="10" t="s">
        <v>116</v>
      </c>
      <c r="F78" s="10" t="s">
        <v>59</v>
      </c>
      <c r="G78" s="10" t="s">
        <v>60</v>
      </c>
      <c r="H78" s="11">
        <v>3</v>
      </c>
      <c r="I78" s="11">
        <v>2</v>
      </c>
      <c r="J78" s="10" t="s">
        <v>271</v>
      </c>
      <c r="K78" s="12" t="s">
        <v>311</v>
      </c>
      <c r="L78" s="17" t="s">
        <v>312</v>
      </c>
      <c r="M78" s="14">
        <v>3</v>
      </c>
      <c r="N78" s="14">
        <v>0</v>
      </c>
      <c r="O78" s="14">
        <v>0</v>
      </c>
      <c r="P78" s="14">
        <v>100</v>
      </c>
      <c r="Q78" s="14">
        <v>0</v>
      </c>
      <c r="R78" s="23" t="s">
        <v>36</v>
      </c>
      <c r="S78" s="14" t="str">
        <f t="shared" si="3"/>
        <v/>
      </c>
      <c r="T78" s="14" t="str">
        <f t="shared" si="4"/>
        <v/>
      </c>
      <c r="U78" s="14" t="str">
        <f t="shared" si="5"/>
        <v/>
      </c>
    </row>
    <row r="79" spans="1:21" ht="80.099999999999994" customHeight="1">
      <c r="A79" s="8">
        <v>13</v>
      </c>
      <c r="B79" s="9" t="s">
        <v>65</v>
      </c>
      <c r="C79" s="10" t="s">
        <v>66</v>
      </c>
      <c r="D79" s="10" t="s">
        <v>67</v>
      </c>
      <c r="E79" s="10" t="s">
        <v>120</v>
      </c>
      <c r="F79" s="10" t="s">
        <v>69</v>
      </c>
      <c r="G79" s="10" t="s">
        <v>70</v>
      </c>
      <c r="H79" s="11">
        <v>1</v>
      </c>
      <c r="I79" s="11">
        <v>1</v>
      </c>
      <c r="J79" s="10" t="s">
        <v>121</v>
      </c>
      <c r="K79" s="12" t="s">
        <v>313</v>
      </c>
      <c r="L79" s="17" t="s">
        <v>314</v>
      </c>
      <c r="M79" s="14">
        <v>3</v>
      </c>
      <c r="N79" s="14">
        <v>0</v>
      </c>
      <c r="O79" s="14">
        <v>5</v>
      </c>
      <c r="P79" s="14">
        <v>20</v>
      </c>
      <c r="Q79" s="14">
        <v>75</v>
      </c>
      <c r="R79" s="23" t="s">
        <v>95</v>
      </c>
      <c r="S79" s="14" t="str">
        <f t="shared" si="3"/>
        <v/>
      </c>
      <c r="T79" s="14" t="str">
        <f t="shared" si="4"/>
        <v/>
      </c>
      <c r="U79" s="14" t="str">
        <f t="shared" si="5"/>
        <v>wrongKnowledge</v>
      </c>
    </row>
    <row r="80" spans="1:21" ht="128.1" customHeight="1">
      <c r="A80" s="8">
        <v>14</v>
      </c>
      <c r="B80" s="9" t="s">
        <v>17</v>
      </c>
      <c r="C80" s="10" t="s">
        <v>18</v>
      </c>
      <c r="D80" s="10" t="s">
        <v>19</v>
      </c>
      <c r="E80" s="10" t="s">
        <v>315</v>
      </c>
      <c r="F80" s="10" t="s">
        <v>21</v>
      </c>
      <c r="G80" s="10" t="s">
        <v>22</v>
      </c>
      <c r="H80" s="11">
        <v>1</v>
      </c>
      <c r="I80" s="11">
        <v>1</v>
      </c>
      <c r="J80" s="10" t="s">
        <v>170</v>
      </c>
      <c r="K80" s="12" t="s">
        <v>316</v>
      </c>
      <c r="L80" s="17" t="s">
        <v>317</v>
      </c>
      <c r="M80" s="14">
        <v>3</v>
      </c>
      <c r="N80" s="14">
        <v>0</v>
      </c>
      <c r="O80" s="14">
        <v>10</v>
      </c>
      <c r="P80" s="14">
        <v>30</v>
      </c>
      <c r="Q80" s="14">
        <v>60</v>
      </c>
      <c r="R80" s="23" t="s">
        <v>26</v>
      </c>
      <c r="S80" s="14" t="str">
        <f t="shared" si="3"/>
        <v/>
      </c>
      <c r="T80" s="14" t="str">
        <f t="shared" si="4"/>
        <v/>
      </c>
      <c r="U80" s="14" t="str">
        <f t="shared" si="5"/>
        <v/>
      </c>
    </row>
    <row r="81" spans="1:21" ht="80.099999999999994" customHeight="1">
      <c r="A81" s="8">
        <v>14</v>
      </c>
      <c r="B81" s="9" t="s">
        <v>27</v>
      </c>
      <c r="C81" s="10" t="s">
        <v>28</v>
      </c>
      <c r="D81" s="10" t="s">
        <v>29</v>
      </c>
      <c r="E81" s="10" t="s">
        <v>78</v>
      </c>
      <c r="F81" s="10" t="s">
        <v>31</v>
      </c>
      <c r="G81" s="10" t="s">
        <v>32</v>
      </c>
      <c r="H81" s="11">
        <v>3</v>
      </c>
      <c r="I81" s="11">
        <v>2</v>
      </c>
      <c r="J81" s="10" t="s">
        <v>318</v>
      </c>
      <c r="K81" s="12" t="s">
        <v>319</v>
      </c>
      <c r="L81" s="17" t="s">
        <v>320</v>
      </c>
      <c r="M81" s="14">
        <v>3</v>
      </c>
      <c r="N81" s="14">
        <v>0</v>
      </c>
      <c r="O81" s="14">
        <v>0</v>
      </c>
      <c r="P81" s="14">
        <v>100</v>
      </c>
      <c r="Q81" s="14">
        <v>0</v>
      </c>
      <c r="R81" s="23" t="s">
        <v>36</v>
      </c>
      <c r="S81" s="14" t="str">
        <f t="shared" si="3"/>
        <v/>
      </c>
      <c r="T81" s="14" t="str">
        <f t="shared" si="4"/>
        <v/>
      </c>
      <c r="U81" s="14" t="str">
        <f t="shared" si="5"/>
        <v/>
      </c>
    </row>
    <row r="82" spans="1:21" ht="104.1" customHeight="1">
      <c r="A82" s="8">
        <v>14</v>
      </c>
      <c r="B82" s="9" t="s">
        <v>37</v>
      </c>
      <c r="C82" s="10" t="s">
        <v>38</v>
      </c>
      <c r="D82" s="10" t="s">
        <v>39</v>
      </c>
      <c r="E82" s="10" t="s">
        <v>152</v>
      </c>
      <c r="F82" s="10" t="s">
        <v>41</v>
      </c>
      <c r="G82" s="10" t="s">
        <v>42</v>
      </c>
      <c r="H82" s="11">
        <v>2</v>
      </c>
      <c r="I82" s="11">
        <v>2</v>
      </c>
      <c r="J82" s="10" t="s">
        <v>321</v>
      </c>
      <c r="K82" s="12" t="s">
        <v>322</v>
      </c>
      <c r="L82" s="17" t="s">
        <v>323</v>
      </c>
      <c r="M82" s="14">
        <v>3</v>
      </c>
      <c r="N82" s="14">
        <v>0</v>
      </c>
      <c r="O82" s="14">
        <v>0</v>
      </c>
      <c r="P82" s="14">
        <v>10</v>
      </c>
      <c r="Q82" s="14" t="s">
        <v>324</v>
      </c>
      <c r="R82" s="23" t="s">
        <v>26</v>
      </c>
      <c r="S82" s="14" t="str">
        <f t="shared" si="3"/>
        <v>drop_incomplete</v>
      </c>
      <c r="T82" s="14" t="str">
        <f t="shared" si="4"/>
        <v/>
      </c>
      <c r="U82" s="14" t="str">
        <f t="shared" si="5"/>
        <v/>
      </c>
    </row>
    <row r="83" spans="1:21" ht="68.099999999999994" customHeight="1">
      <c r="A83" s="8">
        <v>14</v>
      </c>
      <c r="B83" s="9" t="s">
        <v>46</v>
      </c>
      <c r="C83" s="10" t="s">
        <v>47</v>
      </c>
      <c r="D83" s="10" t="s">
        <v>48</v>
      </c>
      <c r="E83" s="10" t="s">
        <v>112</v>
      </c>
      <c r="F83" s="10" t="s">
        <v>50</v>
      </c>
      <c r="G83" s="10" t="s">
        <v>51</v>
      </c>
      <c r="H83" s="11">
        <v>3</v>
      </c>
      <c r="I83" s="11">
        <v>1</v>
      </c>
      <c r="J83" s="10" t="s">
        <v>325</v>
      </c>
      <c r="K83" s="12" t="s">
        <v>326</v>
      </c>
      <c r="L83" s="17" t="s">
        <v>327</v>
      </c>
      <c r="M83" s="14">
        <v>3</v>
      </c>
      <c r="N83" s="14">
        <v>0</v>
      </c>
      <c r="O83" s="14">
        <v>100</v>
      </c>
      <c r="P83" s="14">
        <v>0</v>
      </c>
      <c r="Q83" s="14">
        <v>0</v>
      </c>
      <c r="R83" s="23" t="s">
        <v>36</v>
      </c>
      <c r="S83" s="14" t="str">
        <f t="shared" si="3"/>
        <v/>
      </c>
      <c r="T83" s="14" t="str">
        <f t="shared" si="4"/>
        <v/>
      </c>
      <c r="U83" s="14" t="str">
        <f t="shared" si="5"/>
        <v/>
      </c>
    </row>
    <row r="84" spans="1:21" ht="80.099999999999994" customHeight="1">
      <c r="A84" s="8">
        <v>14</v>
      </c>
      <c r="B84" s="9" t="s">
        <v>55</v>
      </c>
      <c r="C84" s="10" t="s">
        <v>56</v>
      </c>
      <c r="D84" s="10" t="s">
        <v>57</v>
      </c>
      <c r="E84" s="10" t="s">
        <v>139</v>
      </c>
      <c r="F84" s="10" t="s">
        <v>59</v>
      </c>
      <c r="G84" s="10" t="s">
        <v>60</v>
      </c>
      <c r="H84" s="11">
        <v>3</v>
      </c>
      <c r="I84" s="11">
        <v>3</v>
      </c>
      <c r="J84" s="10" t="s">
        <v>117</v>
      </c>
      <c r="K84" s="12" t="s">
        <v>328</v>
      </c>
      <c r="L84" s="17" t="s">
        <v>329</v>
      </c>
      <c r="M84" s="14">
        <v>3</v>
      </c>
      <c r="N84" s="14">
        <v>0</v>
      </c>
      <c r="O84" s="14">
        <v>0</v>
      </c>
      <c r="P84" s="14">
        <v>0</v>
      </c>
      <c r="Q84" s="14">
        <v>100</v>
      </c>
      <c r="R84" s="23" t="s">
        <v>36</v>
      </c>
      <c r="S84" s="14" t="str">
        <f t="shared" si="3"/>
        <v/>
      </c>
      <c r="T84" s="14" t="str">
        <f t="shared" si="4"/>
        <v/>
      </c>
      <c r="U84" s="14" t="str">
        <f t="shared" si="5"/>
        <v/>
      </c>
    </row>
    <row r="85" spans="1:21" ht="80.099999999999994" customHeight="1">
      <c r="A85" s="8">
        <v>14</v>
      </c>
      <c r="B85" s="9" t="s">
        <v>65</v>
      </c>
      <c r="C85" s="10" t="s">
        <v>66</v>
      </c>
      <c r="D85" s="10" t="s">
        <v>67</v>
      </c>
      <c r="E85" s="10" t="s">
        <v>166</v>
      </c>
      <c r="F85" s="10" t="s">
        <v>69</v>
      </c>
      <c r="G85" s="10" t="s">
        <v>70</v>
      </c>
      <c r="H85" s="11">
        <v>2</v>
      </c>
      <c r="I85" s="11">
        <v>1</v>
      </c>
      <c r="J85" s="10" t="s">
        <v>186</v>
      </c>
      <c r="K85" s="12" t="s">
        <v>330</v>
      </c>
      <c r="L85" s="17" t="s">
        <v>331</v>
      </c>
      <c r="M85" s="14">
        <v>3</v>
      </c>
      <c r="N85" s="14">
        <v>0</v>
      </c>
      <c r="O85" s="14">
        <v>5</v>
      </c>
      <c r="P85" s="14">
        <v>20</v>
      </c>
      <c r="Q85" s="14">
        <v>75</v>
      </c>
      <c r="R85" s="23" t="s">
        <v>332</v>
      </c>
      <c r="S85" s="14" t="str">
        <f t="shared" si="3"/>
        <v/>
      </c>
      <c r="T85" s="14" t="str">
        <f t="shared" si="4"/>
        <v/>
      </c>
      <c r="U85" s="14" t="str">
        <f t="shared" si="5"/>
        <v>wrongKnowledge</v>
      </c>
    </row>
    <row r="86" spans="1:21" ht="104.1" customHeight="1">
      <c r="A86" s="8">
        <v>15</v>
      </c>
      <c r="B86" s="9" t="s">
        <v>17</v>
      </c>
      <c r="C86" s="10" t="s">
        <v>18</v>
      </c>
      <c r="D86" s="10" t="s">
        <v>19</v>
      </c>
      <c r="E86" s="10" t="s">
        <v>315</v>
      </c>
      <c r="F86" s="10" t="s">
        <v>21</v>
      </c>
      <c r="G86" s="10" t="s">
        <v>22</v>
      </c>
      <c r="H86" s="11">
        <v>1</v>
      </c>
      <c r="I86" s="11">
        <v>1</v>
      </c>
      <c r="J86" s="10" t="s">
        <v>333</v>
      </c>
      <c r="K86" s="12" t="s">
        <v>334</v>
      </c>
      <c r="L86" s="17" t="s">
        <v>335</v>
      </c>
      <c r="M86" s="14">
        <v>3</v>
      </c>
      <c r="N86" s="14">
        <v>0</v>
      </c>
      <c r="O86" s="14">
        <v>10</v>
      </c>
      <c r="P86" s="14">
        <v>30</v>
      </c>
      <c r="Q86" s="14">
        <v>60</v>
      </c>
      <c r="R86" s="23" t="s">
        <v>26</v>
      </c>
      <c r="S86" s="14" t="str">
        <f t="shared" si="3"/>
        <v/>
      </c>
      <c r="T86" s="14" t="str">
        <f t="shared" si="4"/>
        <v/>
      </c>
      <c r="U86" s="14" t="str">
        <f t="shared" si="5"/>
        <v/>
      </c>
    </row>
    <row r="87" spans="1:21" ht="80.099999999999994" customHeight="1">
      <c r="A87" s="8">
        <v>15</v>
      </c>
      <c r="B87" s="9" t="s">
        <v>27</v>
      </c>
      <c r="C87" s="10" t="s">
        <v>28</v>
      </c>
      <c r="D87" s="10" t="s">
        <v>29</v>
      </c>
      <c r="E87" s="10" t="s">
        <v>192</v>
      </c>
      <c r="F87" s="10" t="s">
        <v>31</v>
      </c>
      <c r="G87" s="10" t="s">
        <v>32</v>
      </c>
      <c r="H87" s="11">
        <v>3</v>
      </c>
      <c r="I87" s="11">
        <v>3</v>
      </c>
      <c r="J87" s="10" t="s">
        <v>336</v>
      </c>
      <c r="K87" s="12" t="s">
        <v>337</v>
      </c>
      <c r="L87" s="17" t="s">
        <v>338</v>
      </c>
      <c r="M87" s="14">
        <v>3</v>
      </c>
      <c r="N87" s="14">
        <v>0</v>
      </c>
      <c r="O87" s="14">
        <v>0</v>
      </c>
      <c r="P87" s="14">
        <v>0</v>
      </c>
      <c r="Q87" s="14">
        <v>100</v>
      </c>
      <c r="R87" s="23" t="s">
        <v>36</v>
      </c>
      <c r="S87" s="14" t="str">
        <f t="shared" si="3"/>
        <v/>
      </c>
      <c r="T87" s="14" t="str">
        <f t="shared" si="4"/>
        <v/>
      </c>
      <c r="U87" s="14" t="str">
        <f t="shared" si="5"/>
        <v/>
      </c>
    </row>
    <row r="88" spans="1:21" ht="104.1" customHeight="1">
      <c r="A88" s="8">
        <v>15</v>
      </c>
      <c r="B88" s="9" t="s">
        <v>37</v>
      </c>
      <c r="C88" s="10" t="s">
        <v>38</v>
      </c>
      <c r="D88" s="10" t="s">
        <v>39</v>
      </c>
      <c r="E88" s="10" t="s">
        <v>82</v>
      </c>
      <c r="F88" s="10" t="s">
        <v>41</v>
      </c>
      <c r="G88" s="10" t="s">
        <v>42</v>
      </c>
      <c r="H88" s="11">
        <v>3</v>
      </c>
      <c r="I88" s="11">
        <v>1</v>
      </c>
      <c r="J88" s="10" t="s">
        <v>339</v>
      </c>
      <c r="K88" s="12" t="s">
        <v>340</v>
      </c>
      <c r="L88" s="17" t="s">
        <v>341</v>
      </c>
      <c r="M88" s="14">
        <v>3</v>
      </c>
      <c r="N88" s="14">
        <v>0</v>
      </c>
      <c r="O88" s="14">
        <v>100</v>
      </c>
      <c r="P88" s="14">
        <v>0</v>
      </c>
      <c r="Q88" s="14">
        <v>0</v>
      </c>
      <c r="R88" s="23" t="s">
        <v>36</v>
      </c>
      <c r="S88" s="14" t="str">
        <f t="shared" si="3"/>
        <v/>
      </c>
      <c r="T88" s="14" t="str">
        <f t="shared" si="4"/>
        <v/>
      </c>
      <c r="U88" s="14" t="str">
        <f t="shared" si="5"/>
        <v/>
      </c>
    </row>
    <row r="89" spans="1:21" ht="56.1" customHeight="1">
      <c r="A89" s="8">
        <v>15</v>
      </c>
      <c r="B89" s="9" t="s">
        <v>46</v>
      </c>
      <c r="C89" s="10" t="s">
        <v>47</v>
      </c>
      <c r="D89" s="10" t="s">
        <v>48</v>
      </c>
      <c r="E89" s="10" t="s">
        <v>86</v>
      </c>
      <c r="F89" s="10" t="s">
        <v>50</v>
      </c>
      <c r="G89" s="10" t="s">
        <v>51</v>
      </c>
      <c r="H89" s="11">
        <v>2</v>
      </c>
      <c r="I89" s="11">
        <v>1</v>
      </c>
      <c r="J89" s="10" t="s">
        <v>342</v>
      </c>
      <c r="K89" s="12" t="s">
        <v>343</v>
      </c>
      <c r="L89" s="17" t="s">
        <v>344</v>
      </c>
      <c r="M89" s="14">
        <v>3</v>
      </c>
      <c r="N89" s="14">
        <v>0</v>
      </c>
      <c r="O89" s="14">
        <v>10</v>
      </c>
      <c r="P89" s="14" t="s">
        <v>64</v>
      </c>
      <c r="Q89" s="14" t="s">
        <v>64</v>
      </c>
      <c r="R89" s="23" t="s">
        <v>26</v>
      </c>
      <c r="S89" s="14" t="str">
        <f t="shared" si="3"/>
        <v>drop_incomplete</v>
      </c>
      <c r="T89" s="14" t="str">
        <f t="shared" si="4"/>
        <v/>
      </c>
      <c r="U89" s="14" t="str">
        <f t="shared" si="5"/>
        <v/>
      </c>
    </row>
    <row r="90" spans="1:21" ht="116.1" customHeight="1">
      <c r="A90" s="8">
        <v>15</v>
      </c>
      <c r="B90" s="9" t="s">
        <v>55</v>
      </c>
      <c r="C90" s="10" t="s">
        <v>56</v>
      </c>
      <c r="D90" s="10" t="s">
        <v>57</v>
      </c>
      <c r="E90" s="10" t="s">
        <v>116</v>
      </c>
      <c r="F90" s="10" t="s">
        <v>59</v>
      </c>
      <c r="G90" s="10" t="s">
        <v>60</v>
      </c>
      <c r="H90" s="11">
        <v>3</v>
      </c>
      <c r="I90" s="11">
        <v>2</v>
      </c>
      <c r="J90" s="10" t="s">
        <v>345</v>
      </c>
      <c r="K90" s="12" t="s">
        <v>346</v>
      </c>
      <c r="L90" s="17" t="s">
        <v>347</v>
      </c>
      <c r="M90" s="14">
        <v>3</v>
      </c>
      <c r="N90" s="14">
        <v>0</v>
      </c>
      <c r="O90" s="14">
        <v>0</v>
      </c>
      <c r="P90" s="14">
        <v>100</v>
      </c>
      <c r="Q90" s="14">
        <v>0</v>
      </c>
      <c r="R90" s="23" t="s">
        <v>36</v>
      </c>
      <c r="S90" s="14" t="str">
        <f t="shared" si="3"/>
        <v/>
      </c>
      <c r="T90" s="14" t="str">
        <f t="shared" si="4"/>
        <v/>
      </c>
      <c r="U90" s="14" t="str">
        <f t="shared" si="5"/>
        <v/>
      </c>
    </row>
    <row r="91" spans="1:21" ht="104.1" customHeight="1">
      <c r="A91" s="8">
        <v>15</v>
      </c>
      <c r="B91" s="9" t="s">
        <v>65</v>
      </c>
      <c r="C91" s="10" t="s">
        <v>66</v>
      </c>
      <c r="D91" s="10" t="s">
        <v>67</v>
      </c>
      <c r="E91" s="10" t="s">
        <v>96</v>
      </c>
      <c r="F91" s="10" t="s">
        <v>69</v>
      </c>
      <c r="G91" s="10" t="s">
        <v>70</v>
      </c>
      <c r="H91" s="11">
        <v>2</v>
      </c>
      <c r="I91" s="11">
        <v>2</v>
      </c>
      <c r="J91" s="10" t="s">
        <v>348</v>
      </c>
      <c r="K91" s="12" t="s">
        <v>349</v>
      </c>
      <c r="L91" s="17" t="s">
        <v>350</v>
      </c>
      <c r="M91" s="14">
        <v>3</v>
      </c>
      <c r="N91" s="14">
        <v>0</v>
      </c>
      <c r="O91" s="14">
        <v>0</v>
      </c>
      <c r="P91" s="14">
        <v>10</v>
      </c>
      <c r="Q91" s="14">
        <v>90</v>
      </c>
      <c r="R91" s="23" t="s">
        <v>332</v>
      </c>
      <c r="S91" s="14" t="str">
        <f t="shared" si="3"/>
        <v/>
      </c>
      <c r="T91" s="14" t="str">
        <f t="shared" si="4"/>
        <v/>
      </c>
      <c r="U91" s="14" t="str">
        <f t="shared" si="5"/>
        <v>wrongKnowledge</v>
      </c>
    </row>
    <row r="92" spans="1:21" ht="104.1" customHeight="1">
      <c r="A92" s="8">
        <v>16</v>
      </c>
      <c r="B92" s="9" t="s">
        <v>17</v>
      </c>
      <c r="C92" s="10" t="s">
        <v>18</v>
      </c>
      <c r="D92" s="10" t="s">
        <v>19</v>
      </c>
      <c r="E92" s="10" t="s">
        <v>125</v>
      </c>
      <c r="F92" s="10" t="s">
        <v>21</v>
      </c>
      <c r="G92" s="10" t="s">
        <v>22</v>
      </c>
      <c r="H92" s="11">
        <v>3</v>
      </c>
      <c r="I92" s="11">
        <v>1</v>
      </c>
      <c r="J92" s="10" t="s">
        <v>351</v>
      </c>
      <c r="K92" s="12" t="s">
        <v>352</v>
      </c>
      <c r="L92" s="17" t="s">
        <v>353</v>
      </c>
      <c r="M92" s="14">
        <v>3</v>
      </c>
      <c r="N92" s="14">
        <v>0</v>
      </c>
      <c r="O92" s="14">
        <v>100</v>
      </c>
      <c r="P92" s="14">
        <v>0</v>
      </c>
      <c r="Q92" s="14">
        <v>0</v>
      </c>
      <c r="R92" s="23" t="s">
        <v>26</v>
      </c>
      <c r="S92" s="14" t="str">
        <f t="shared" si="3"/>
        <v/>
      </c>
      <c r="T92" s="14" t="str">
        <f t="shared" si="4"/>
        <v/>
      </c>
      <c r="U92" s="14" t="str">
        <f t="shared" si="5"/>
        <v>wrongKnowledge</v>
      </c>
    </row>
    <row r="93" spans="1:21" ht="104.1" customHeight="1">
      <c r="A93" s="8">
        <v>16</v>
      </c>
      <c r="B93" s="9" t="s">
        <v>27</v>
      </c>
      <c r="C93" s="10" t="s">
        <v>28</v>
      </c>
      <c r="D93" s="10" t="s">
        <v>29</v>
      </c>
      <c r="E93" s="10" t="s">
        <v>104</v>
      </c>
      <c r="F93" s="10" t="s">
        <v>31</v>
      </c>
      <c r="G93" s="10" t="s">
        <v>32</v>
      </c>
      <c r="H93" s="11">
        <v>2</v>
      </c>
      <c r="I93" s="11">
        <v>2</v>
      </c>
      <c r="J93" s="10" t="s">
        <v>262</v>
      </c>
      <c r="K93" s="12" t="s">
        <v>354</v>
      </c>
      <c r="L93" s="17" t="s">
        <v>355</v>
      </c>
      <c r="M93" s="14">
        <v>3</v>
      </c>
      <c r="N93" s="14">
        <v>0</v>
      </c>
      <c r="O93" s="14">
        <v>0</v>
      </c>
      <c r="P93" s="14">
        <v>20</v>
      </c>
      <c r="Q93" s="14">
        <v>80</v>
      </c>
      <c r="R93" s="23" t="s">
        <v>26</v>
      </c>
      <c r="S93" s="14" t="str">
        <f t="shared" si="3"/>
        <v/>
      </c>
      <c r="T93" s="14" t="str">
        <f t="shared" si="4"/>
        <v/>
      </c>
      <c r="U93" s="14" t="str">
        <f t="shared" si="5"/>
        <v/>
      </c>
    </row>
    <row r="94" spans="1:21" ht="68.099999999999994" customHeight="1">
      <c r="A94" s="8">
        <v>16</v>
      </c>
      <c r="B94" s="9" t="s">
        <v>37</v>
      </c>
      <c r="C94" s="10" t="s">
        <v>38</v>
      </c>
      <c r="D94" s="10" t="s">
        <v>39</v>
      </c>
      <c r="E94" s="10" t="s">
        <v>176</v>
      </c>
      <c r="F94" s="10" t="s">
        <v>41</v>
      </c>
      <c r="G94" s="10" t="s">
        <v>42</v>
      </c>
      <c r="H94" s="11">
        <v>2</v>
      </c>
      <c r="I94" s="11">
        <v>1</v>
      </c>
      <c r="J94" s="10" t="s">
        <v>356</v>
      </c>
      <c r="K94" s="12" t="s">
        <v>357</v>
      </c>
      <c r="L94" s="17" t="s">
        <v>358</v>
      </c>
      <c r="M94" s="14">
        <v>3</v>
      </c>
      <c r="N94" s="14">
        <v>0</v>
      </c>
      <c r="O94" s="14">
        <v>5</v>
      </c>
      <c r="P94" s="14">
        <v>35</v>
      </c>
      <c r="Q94" s="14" t="s">
        <v>169</v>
      </c>
      <c r="R94" s="23" t="s">
        <v>26</v>
      </c>
      <c r="S94" s="14" t="str">
        <f t="shared" si="3"/>
        <v>drop_incomplete</v>
      </c>
      <c r="T94" s="14" t="str">
        <f t="shared" si="4"/>
        <v/>
      </c>
      <c r="U94" s="14" t="str">
        <f t="shared" si="5"/>
        <v/>
      </c>
    </row>
    <row r="95" spans="1:21" ht="104.1" customHeight="1">
      <c r="A95" s="8">
        <v>16</v>
      </c>
      <c r="B95" s="9" t="s">
        <v>46</v>
      </c>
      <c r="C95" s="10" t="s">
        <v>47</v>
      </c>
      <c r="D95" s="10" t="s">
        <v>48</v>
      </c>
      <c r="E95" s="10" t="s">
        <v>156</v>
      </c>
      <c r="F95" s="10" t="s">
        <v>50</v>
      </c>
      <c r="G95" s="10" t="s">
        <v>51</v>
      </c>
      <c r="H95" s="11">
        <v>3</v>
      </c>
      <c r="I95" s="11">
        <v>2</v>
      </c>
      <c r="J95" s="10" t="s">
        <v>359</v>
      </c>
      <c r="K95" s="12" t="s">
        <v>360</v>
      </c>
      <c r="L95" s="17" t="s">
        <v>361</v>
      </c>
      <c r="M95" s="14">
        <v>3</v>
      </c>
      <c r="N95" s="14">
        <v>0</v>
      </c>
      <c r="O95" s="14">
        <v>0</v>
      </c>
      <c r="P95" s="14">
        <v>20</v>
      </c>
      <c r="Q95" s="14">
        <v>80</v>
      </c>
      <c r="R95" s="23" t="s">
        <v>36</v>
      </c>
      <c r="S95" s="14" t="str">
        <f t="shared" si="3"/>
        <v/>
      </c>
      <c r="T95" s="14" t="str">
        <f t="shared" si="4"/>
        <v/>
      </c>
      <c r="U95" s="14" t="str">
        <f t="shared" si="5"/>
        <v/>
      </c>
    </row>
    <row r="96" spans="1:21" ht="104.1" customHeight="1">
      <c r="A96" s="8">
        <v>16</v>
      </c>
      <c r="B96" s="9" t="s">
        <v>55</v>
      </c>
      <c r="C96" s="10" t="s">
        <v>56</v>
      </c>
      <c r="D96" s="10" t="s">
        <v>57</v>
      </c>
      <c r="E96" s="10" t="s">
        <v>90</v>
      </c>
      <c r="F96" s="10" t="s">
        <v>59</v>
      </c>
      <c r="G96" s="10" t="s">
        <v>60</v>
      </c>
      <c r="H96" s="11">
        <v>1</v>
      </c>
      <c r="I96" s="11">
        <v>1</v>
      </c>
      <c r="J96" s="10" t="s">
        <v>271</v>
      </c>
      <c r="K96" s="12" t="s">
        <v>362</v>
      </c>
      <c r="L96" s="17" t="s">
        <v>363</v>
      </c>
      <c r="M96" s="14">
        <v>3</v>
      </c>
      <c r="N96" s="14">
        <v>0</v>
      </c>
      <c r="O96" s="14">
        <v>5</v>
      </c>
      <c r="P96" s="14">
        <v>25</v>
      </c>
      <c r="Q96" s="14">
        <v>70</v>
      </c>
      <c r="R96" s="23" t="s">
        <v>26</v>
      </c>
      <c r="S96" s="14" t="str">
        <f t="shared" si="3"/>
        <v/>
      </c>
      <c r="T96" s="14" t="str">
        <f t="shared" si="4"/>
        <v/>
      </c>
      <c r="U96" s="14" t="str">
        <f t="shared" si="5"/>
        <v/>
      </c>
    </row>
    <row r="97" spans="1:21" ht="20.100000000000001" customHeight="1">
      <c r="A97" s="8">
        <v>16</v>
      </c>
      <c r="B97" s="9" t="s">
        <v>65</v>
      </c>
      <c r="C97" s="10" t="s">
        <v>66</v>
      </c>
      <c r="D97" s="10" t="s">
        <v>67</v>
      </c>
      <c r="E97" s="10" t="s">
        <v>68</v>
      </c>
      <c r="F97" s="10" t="s">
        <v>69</v>
      </c>
      <c r="G97" s="10" t="s">
        <v>70</v>
      </c>
      <c r="H97" s="11">
        <v>3</v>
      </c>
      <c r="I97" s="11">
        <v>3</v>
      </c>
      <c r="J97" s="10" t="s">
        <v>364</v>
      </c>
      <c r="K97" s="10" t="s">
        <v>365</v>
      </c>
      <c r="L97" s="17" t="s">
        <v>366</v>
      </c>
      <c r="M97" s="14">
        <v>3</v>
      </c>
      <c r="N97" s="14">
        <v>0</v>
      </c>
      <c r="O97" s="14">
        <v>0</v>
      </c>
      <c r="P97" s="14">
        <v>0</v>
      </c>
      <c r="Q97" s="14">
        <v>100</v>
      </c>
      <c r="R97" s="23" t="s">
        <v>36</v>
      </c>
      <c r="S97" s="14" t="str">
        <f t="shared" si="3"/>
        <v/>
      </c>
      <c r="T97" s="14" t="str">
        <f t="shared" si="4"/>
        <v/>
      </c>
      <c r="U97" s="14" t="str">
        <f t="shared" si="5"/>
        <v/>
      </c>
    </row>
    <row r="98" spans="1:21" ht="68.099999999999994" customHeight="1">
      <c r="A98" s="8">
        <v>17</v>
      </c>
      <c r="B98" s="9" t="s">
        <v>17</v>
      </c>
      <c r="C98" s="10" t="s">
        <v>18</v>
      </c>
      <c r="D98" s="10" t="s">
        <v>19</v>
      </c>
      <c r="E98" s="10" t="s">
        <v>100</v>
      </c>
      <c r="F98" s="10" t="s">
        <v>21</v>
      </c>
      <c r="G98" s="10" t="s">
        <v>22</v>
      </c>
      <c r="H98" s="11">
        <v>2</v>
      </c>
      <c r="I98" s="11">
        <v>1</v>
      </c>
      <c r="J98" s="10" t="s">
        <v>170</v>
      </c>
      <c r="K98" s="12" t="s">
        <v>367</v>
      </c>
      <c r="L98" s="17" t="s">
        <v>191</v>
      </c>
      <c r="M98" s="14">
        <v>3</v>
      </c>
      <c r="N98" s="14">
        <v>0</v>
      </c>
      <c r="O98" s="14">
        <v>0</v>
      </c>
      <c r="P98" s="14">
        <v>40</v>
      </c>
      <c r="Q98" s="14">
        <v>60</v>
      </c>
      <c r="R98" s="23" t="s">
        <v>26</v>
      </c>
      <c r="S98" s="14" t="str">
        <f t="shared" si="3"/>
        <v/>
      </c>
      <c r="T98" s="14" t="str">
        <f t="shared" si="4"/>
        <v/>
      </c>
      <c r="U98" s="14" t="str">
        <f t="shared" si="5"/>
        <v/>
      </c>
    </row>
    <row r="99" spans="1:21" ht="44.1" customHeight="1">
      <c r="A99" s="8">
        <v>17</v>
      </c>
      <c r="B99" s="9" t="s">
        <v>27</v>
      </c>
      <c r="C99" s="10" t="s">
        <v>28</v>
      </c>
      <c r="D99" s="10" t="s">
        <v>29</v>
      </c>
      <c r="E99" s="10" t="s">
        <v>78</v>
      </c>
      <c r="F99" s="10" t="s">
        <v>31</v>
      </c>
      <c r="G99" s="10" t="s">
        <v>32</v>
      </c>
      <c r="H99" s="11">
        <v>3</v>
      </c>
      <c r="I99" s="11">
        <v>2</v>
      </c>
      <c r="J99" s="10" t="s">
        <v>368</v>
      </c>
      <c r="K99" s="12" t="s">
        <v>369</v>
      </c>
      <c r="L99" s="17" t="s">
        <v>370</v>
      </c>
      <c r="M99" s="14">
        <v>3</v>
      </c>
      <c r="N99" s="14">
        <v>0</v>
      </c>
      <c r="O99" s="14">
        <v>0</v>
      </c>
      <c r="P99" s="14">
        <v>100</v>
      </c>
      <c r="Q99" s="14">
        <v>0</v>
      </c>
      <c r="R99" s="23" t="s">
        <v>36</v>
      </c>
      <c r="S99" s="14" t="str">
        <f t="shared" si="3"/>
        <v/>
      </c>
      <c r="T99" s="14" t="str">
        <f t="shared" si="4"/>
        <v/>
      </c>
      <c r="U99" s="14" t="str">
        <f t="shared" si="5"/>
        <v/>
      </c>
    </row>
    <row r="100" spans="1:21" ht="80.099999999999994" customHeight="1">
      <c r="A100" s="8">
        <v>17</v>
      </c>
      <c r="B100" s="9" t="s">
        <v>37</v>
      </c>
      <c r="C100" s="10" t="s">
        <v>38</v>
      </c>
      <c r="D100" s="10" t="s">
        <v>39</v>
      </c>
      <c r="E100" s="10" t="s">
        <v>82</v>
      </c>
      <c r="F100" s="10" t="s">
        <v>41</v>
      </c>
      <c r="G100" s="10" t="s">
        <v>42</v>
      </c>
      <c r="H100" s="11">
        <v>3</v>
      </c>
      <c r="I100" s="11">
        <v>1</v>
      </c>
      <c r="J100" s="10" t="s">
        <v>371</v>
      </c>
      <c r="K100" s="12" t="s">
        <v>372</v>
      </c>
      <c r="L100" s="17" t="s">
        <v>373</v>
      </c>
      <c r="M100" s="14">
        <v>3</v>
      </c>
      <c r="N100" s="14">
        <v>0</v>
      </c>
      <c r="O100" s="14">
        <v>100</v>
      </c>
      <c r="P100" s="14">
        <v>0</v>
      </c>
      <c r="Q100" s="14">
        <v>0</v>
      </c>
      <c r="R100" s="23" t="s">
        <v>36</v>
      </c>
      <c r="S100" s="14" t="str">
        <f t="shared" si="3"/>
        <v/>
      </c>
      <c r="T100" s="14" t="str">
        <f t="shared" si="4"/>
        <v/>
      </c>
      <c r="U100" s="14" t="str">
        <f t="shared" si="5"/>
        <v/>
      </c>
    </row>
    <row r="101" spans="1:21" ht="92.1" customHeight="1">
      <c r="A101" s="8">
        <v>17</v>
      </c>
      <c r="B101" s="9" t="s">
        <v>46</v>
      </c>
      <c r="C101" s="10" t="s">
        <v>47</v>
      </c>
      <c r="D101" s="10" t="s">
        <v>48</v>
      </c>
      <c r="E101" s="10" t="s">
        <v>49</v>
      </c>
      <c r="F101" s="10" t="s">
        <v>50</v>
      </c>
      <c r="G101" s="10" t="s">
        <v>51</v>
      </c>
      <c r="H101" s="11">
        <v>1</v>
      </c>
      <c r="I101" s="11">
        <v>1</v>
      </c>
      <c r="J101" s="10" t="s">
        <v>374</v>
      </c>
      <c r="K101" s="12" t="s">
        <v>375</v>
      </c>
      <c r="L101" s="17" t="s">
        <v>376</v>
      </c>
      <c r="M101" s="14">
        <v>3</v>
      </c>
      <c r="N101" s="14">
        <v>0</v>
      </c>
      <c r="O101" s="14">
        <v>10</v>
      </c>
      <c r="P101" s="14">
        <v>20</v>
      </c>
      <c r="Q101" s="14">
        <v>70</v>
      </c>
      <c r="R101" s="23" t="s">
        <v>26</v>
      </c>
      <c r="S101" s="14" t="str">
        <f t="shared" si="3"/>
        <v/>
      </c>
      <c r="T101" s="14" t="str">
        <f t="shared" si="4"/>
        <v/>
      </c>
      <c r="U101" s="14" t="str">
        <f t="shared" si="5"/>
        <v/>
      </c>
    </row>
    <row r="102" spans="1:21" ht="80.099999999999994" customHeight="1">
      <c r="A102" s="8">
        <v>17</v>
      </c>
      <c r="B102" s="9" t="s">
        <v>55</v>
      </c>
      <c r="C102" s="10" t="s">
        <v>56</v>
      </c>
      <c r="D102" s="10" t="s">
        <v>57</v>
      </c>
      <c r="E102" s="10" t="s">
        <v>377</v>
      </c>
      <c r="F102" s="10" t="s">
        <v>59</v>
      </c>
      <c r="G102" s="10" t="s">
        <v>60</v>
      </c>
      <c r="H102" s="11">
        <v>2</v>
      </c>
      <c r="I102" s="11">
        <v>2</v>
      </c>
      <c r="J102" s="10" t="s">
        <v>378</v>
      </c>
      <c r="K102" s="12" t="s">
        <v>379</v>
      </c>
      <c r="L102" s="17" t="s">
        <v>380</v>
      </c>
      <c r="M102" s="14">
        <v>3</v>
      </c>
      <c r="N102" s="14">
        <v>0</v>
      </c>
      <c r="O102" s="14">
        <v>0</v>
      </c>
      <c r="P102" s="14">
        <v>10</v>
      </c>
      <c r="Q102" s="14">
        <v>90</v>
      </c>
      <c r="R102" s="23" t="s">
        <v>26</v>
      </c>
      <c r="S102" s="14" t="str">
        <f t="shared" si="3"/>
        <v/>
      </c>
      <c r="T102" s="14" t="str">
        <f t="shared" si="4"/>
        <v/>
      </c>
      <c r="U102" s="14" t="str">
        <f t="shared" si="5"/>
        <v/>
      </c>
    </row>
    <row r="103" spans="1:21" ht="104.1" customHeight="1">
      <c r="A103" s="8">
        <v>17</v>
      </c>
      <c r="B103" s="9" t="s">
        <v>65</v>
      </c>
      <c r="C103" s="10" t="s">
        <v>66</v>
      </c>
      <c r="D103" s="10" t="s">
        <v>67</v>
      </c>
      <c r="E103" s="10" t="s">
        <v>68</v>
      </c>
      <c r="F103" s="10" t="s">
        <v>69</v>
      </c>
      <c r="G103" s="10" t="s">
        <v>70</v>
      </c>
      <c r="H103" s="11">
        <v>3</v>
      </c>
      <c r="I103" s="11">
        <v>3</v>
      </c>
      <c r="J103" s="10" t="s">
        <v>381</v>
      </c>
      <c r="K103" s="12" t="s">
        <v>382</v>
      </c>
      <c r="L103" s="17" t="s">
        <v>383</v>
      </c>
      <c r="M103" s="14">
        <v>3</v>
      </c>
      <c r="N103" s="14">
        <v>0</v>
      </c>
      <c r="O103" s="14">
        <v>0</v>
      </c>
      <c r="P103" s="14">
        <v>0</v>
      </c>
      <c r="Q103" s="14">
        <v>100</v>
      </c>
      <c r="R103" s="23" t="s">
        <v>36</v>
      </c>
      <c r="S103" s="14" t="str">
        <f t="shared" si="3"/>
        <v/>
      </c>
      <c r="T103" s="14" t="str">
        <f t="shared" si="4"/>
        <v/>
      </c>
      <c r="U103" s="14" t="str">
        <f t="shared" si="5"/>
        <v/>
      </c>
    </row>
    <row r="104" spans="1:21" ht="80.099999999999994" customHeight="1">
      <c r="A104" s="8">
        <v>18</v>
      </c>
      <c r="B104" s="9" t="s">
        <v>17</v>
      </c>
      <c r="C104" s="10" t="s">
        <v>18</v>
      </c>
      <c r="D104" s="10" t="s">
        <v>19</v>
      </c>
      <c r="E104" s="10" t="s">
        <v>315</v>
      </c>
      <c r="F104" s="10" t="s">
        <v>21</v>
      </c>
      <c r="G104" s="10" t="s">
        <v>22</v>
      </c>
      <c r="H104" s="11">
        <v>1</v>
      </c>
      <c r="I104" s="11">
        <v>1</v>
      </c>
      <c r="J104" s="10" t="s">
        <v>384</v>
      </c>
      <c r="K104" s="12" t="s">
        <v>385</v>
      </c>
      <c r="L104" s="17" t="s">
        <v>386</v>
      </c>
      <c r="M104" s="14">
        <v>3</v>
      </c>
      <c r="N104" s="14">
        <v>0</v>
      </c>
      <c r="O104" s="14">
        <v>10</v>
      </c>
      <c r="P104" s="14">
        <v>30</v>
      </c>
      <c r="Q104" s="14">
        <v>60</v>
      </c>
      <c r="R104" s="23" t="s">
        <v>26</v>
      </c>
      <c r="S104" s="14" t="str">
        <f t="shared" si="3"/>
        <v/>
      </c>
      <c r="T104" s="14" t="str">
        <f t="shared" si="4"/>
        <v/>
      </c>
      <c r="U104" s="14" t="str">
        <f t="shared" si="5"/>
        <v/>
      </c>
    </row>
    <row r="105" spans="1:21" ht="140.1" customHeight="1">
      <c r="A105" s="8">
        <v>18</v>
      </c>
      <c r="B105" s="9" t="s">
        <v>27</v>
      </c>
      <c r="C105" s="10" t="s">
        <v>28</v>
      </c>
      <c r="D105" s="10" t="s">
        <v>29</v>
      </c>
      <c r="E105" s="10" t="s">
        <v>261</v>
      </c>
      <c r="F105" s="10" t="s">
        <v>31</v>
      </c>
      <c r="G105" s="10" t="s">
        <v>32</v>
      </c>
      <c r="H105" s="11">
        <v>2</v>
      </c>
      <c r="I105" s="11">
        <v>1</v>
      </c>
      <c r="J105" s="10" t="s">
        <v>387</v>
      </c>
      <c r="K105" s="12" t="s">
        <v>388</v>
      </c>
      <c r="L105" s="17" t="s">
        <v>389</v>
      </c>
      <c r="M105" s="14">
        <v>3</v>
      </c>
      <c r="N105" s="14">
        <v>0</v>
      </c>
      <c r="O105" s="14">
        <v>0</v>
      </c>
      <c r="P105" s="14" t="s">
        <v>390</v>
      </c>
      <c r="Q105" s="14" t="s">
        <v>390</v>
      </c>
      <c r="R105" s="23" t="s">
        <v>26</v>
      </c>
      <c r="S105" s="14" t="str">
        <f t="shared" si="3"/>
        <v>drop_incomplete</v>
      </c>
      <c r="T105" s="14" t="str">
        <f t="shared" si="4"/>
        <v/>
      </c>
      <c r="U105" s="14" t="str">
        <f t="shared" si="5"/>
        <v/>
      </c>
    </row>
    <row r="106" spans="1:21" ht="104.1" customHeight="1">
      <c r="A106" s="8">
        <v>18</v>
      </c>
      <c r="B106" s="9" t="s">
        <v>37</v>
      </c>
      <c r="C106" s="10" t="s">
        <v>38</v>
      </c>
      <c r="D106" s="10" t="s">
        <v>39</v>
      </c>
      <c r="E106" s="10" t="s">
        <v>82</v>
      </c>
      <c r="F106" s="10" t="s">
        <v>41</v>
      </c>
      <c r="G106" s="10" t="s">
        <v>42</v>
      </c>
      <c r="H106" s="11">
        <v>3</v>
      </c>
      <c r="I106" s="11">
        <v>1</v>
      </c>
      <c r="J106" s="10" t="s">
        <v>391</v>
      </c>
      <c r="K106" s="12" t="s">
        <v>392</v>
      </c>
      <c r="L106" s="17" t="s">
        <v>393</v>
      </c>
      <c r="M106" s="14">
        <v>3</v>
      </c>
      <c r="N106" s="14">
        <v>0</v>
      </c>
      <c r="O106" s="14">
        <v>95</v>
      </c>
      <c r="P106" s="14">
        <v>5</v>
      </c>
      <c r="Q106" s="14">
        <v>0</v>
      </c>
      <c r="R106" s="23" t="s">
        <v>36</v>
      </c>
      <c r="S106" s="14" t="str">
        <f t="shared" si="3"/>
        <v/>
      </c>
      <c r="T106" s="14" t="str">
        <f t="shared" si="4"/>
        <v/>
      </c>
      <c r="U106" s="14" t="str">
        <f t="shared" si="5"/>
        <v/>
      </c>
    </row>
    <row r="107" spans="1:21" ht="80.099999999999994" customHeight="1">
      <c r="A107" s="8">
        <v>18</v>
      </c>
      <c r="B107" s="9" t="s">
        <v>46</v>
      </c>
      <c r="C107" s="10" t="s">
        <v>47</v>
      </c>
      <c r="D107" s="10" t="s">
        <v>48</v>
      </c>
      <c r="E107" s="10" t="s">
        <v>286</v>
      </c>
      <c r="F107" s="10" t="s">
        <v>50</v>
      </c>
      <c r="G107" s="10" t="s">
        <v>51</v>
      </c>
      <c r="H107" s="11">
        <v>2</v>
      </c>
      <c r="I107" s="11">
        <v>2</v>
      </c>
      <c r="J107" s="10" t="s">
        <v>394</v>
      </c>
      <c r="K107" s="12" t="s">
        <v>395</v>
      </c>
      <c r="L107" s="17" t="s">
        <v>396</v>
      </c>
      <c r="M107" s="14">
        <v>3</v>
      </c>
      <c r="N107" s="14">
        <v>0</v>
      </c>
      <c r="O107" s="14">
        <v>0</v>
      </c>
      <c r="P107" s="14">
        <v>20</v>
      </c>
      <c r="Q107" s="14" t="s">
        <v>306</v>
      </c>
      <c r="R107" s="23" t="s">
        <v>26</v>
      </c>
      <c r="S107" s="14" t="str">
        <f t="shared" si="3"/>
        <v>drop_incomplete</v>
      </c>
      <c r="T107" s="14" t="str">
        <f t="shared" si="4"/>
        <v/>
      </c>
      <c r="U107" s="14" t="str">
        <f t="shared" si="5"/>
        <v/>
      </c>
    </row>
    <row r="108" spans="1:21" ht="92.1" customHeight="1">
      <c r="A108" s="8">
        <v>18</v>
      </c>
      <c r="B108" s="9" t="s">
        <v>55</v>
      </c>
      <c r="C108" s="10" t="s">
        <v>56</v>
      </c>
      <c r="D108" s="10" t="s">
        <v>57</v>
      </c>
      <c r="E108" s="10" t="s">
        <v>116</v>
      </c>
      <c r="F108" s="10" t="s">
        <v>59</v>
      </c>
      <c r="G108" s="10" t="s">
        <v>60</v>
      </c>
      <c r="H108" s="11">
        <v>3</v>
      </c>
      <c r="I108" s="11">
        <v>2</v>
      </c>
      <c r="J108" s="10" t="s">
        <v>397</v>
      </c>
      <c r="K108" s="12" t="s">
        <v>398</v>
      </c>
      <c r="L108" s="17" t="s">
        <v>399</v>
      </c>
      <c r="M108" s="14">
        <v>3</v>
      </c>
      <c r="N108" s="14">
        <v>0</v>
      </c>
      <c r="O108" s="14">
        <v>0</v>
      </c>
      <c r="P108" s="14">
        <v>90</v>
      </c>
      <c r="Q108" s="14">
        <v>10</v>
      </c>
      <c r="R108" s="23" t="s">
        <v>332</v>
      </c>
      <c r="S108" s="14" t="str">
        <f t="shared" si="3"/>
        <v/>
      </c>
      <c r="T108" s="14" t="str">
        <f t="shared" si="4"/>
        <v/>
      </c>
      <c r="U108" s="14" t="str">
        <f t="shared" si="5"/>
        <v>wrongKnowledge</v>
      </c>
    </row>
    <row r="109" spans="1:21" ht="104.1" customHeight="1">
      <c r="A109" s="8">
        <v>18</v>
      </c>
      <c r="B109" s="9" t="s">
        <v>65</v>
      </c>
      <c r="C109" s="10" t="s">
        <v>66</v>
      </c>
      <c r="D109" s="10" t="s">
        <v>67</v>
      </c>
      <c r="E109" s="10" t="s">
        <v>68</v>
      </c>
      <c r="F109" s="10" t="s">
        <v>69</v>
      </c>
      <c r="G109" s="10" t="s">
        <v>70</v>
      </c>
      <c r="H109" s="11">
        <v>3</v>
      </c>
      <c r="I109" s="11">
        <v>3</v>
      </c>
      <c r="J109" s="10" t="s">
        <v>71</v>
      </c>
      <c r="K109" s="12" t="s">
        <v>400</v>
      </c>
      <c r="L109" s="17" t="s">
        <v>401</v>
      </c>
      <c r="M109" s="14">
        <v>3</v>
      </c>
      <c r="N109" s="14">
        <v>0</v>
      </c>
      <c r="O109" s="14">
        <v>0</v>
      </c>
      <c r="P109" s="14">
        <v>0</v>
      </c>
      <c r="Q109" s="14">
        <v>100</v>
      </c>
      <c r="R109" s="23" t="s">
        <v>36</v>
      </c>
      <c r="S109" s="14" t="str">
        <f t="shared" si="3"/>
        <v/>
      </c>
      <c r="T109" s="14" t="str">
        <f t="shared" si="4"/>
        <v/>
      </c>
      <c r="U109" s="14" t="str">
        <f t="shared" si="5"/>
        <v/>
      </c>
    </row>
    <row r="110" spans="1:21" ht="104.1" customHeight="1">
      <c r="A110" s="8">
        <v>19</v>
      </c>
      <c r="B110" s="9" t="s">
        <v>17</v>
      </c>
      <c r="C110" s="10" t="s">
        <v>18</v>
      </c>
      <c r="D110" s="10" t="s">
        <v>19</v>
      </c>
      <c r="E110" s="10" t="s">
        <v>315</v>
      </c>
      <c r="F110" s="10" t="s">
        <v>21</v>
      </c>
      <c r="G110" s="10" t="s">
        <v>22</v>
      </c>
      <c r="H110" s="11">
        <v>1</v>
      </c>
      <c r="I110" s="11">
        <v>1</v>
      </c>
      <c r="J110" s="10" t="s">
        <v>101</v>
      </c>
      <c r="K110" s="12" t="s">
        <v>402</v>
      </c>
      <c r="L110" s="17" t="s">
        <v>403</v>
      </c>
      <c r="M110" s="14">
        <v>3</v>
      </c>
      <c r="N110" s="14">
        <v>0</v>
      </c>
      <c r="O110" s="14">
        <v>10</v>
      </c>
      <c r="P110" s="14">
        <v>30</v>
      </c>
      <c r="Q110" s="14">
        <v>60</v>
      </c>
      <c r="R110" s="23" t="s">
        <v>26</v>
      </c>
      <c r="S110" s="14" t="str">
        <f t="shared" si="3"/>
        <v/>
      </c>
      <c r="T110" s="14" t="str">
        <f t="shared" si="4"/>
        <v/>
      </c>
      <c r="U110" s="14" t="str">
        <f t="shared" si="5"/>
        <v/>
      </c>
    </row>
    <row r="111" spans="1:21" ht="68.099999999999994" customHeight="1">
      <c r="A111" s="8">
        <v>19</v>
      </c>
      <c r="B111" s="9" t="s">
        <v>27</v>
      </c>
      <c r="C111" s="10" t="s">
        <v>28</v>
      </c>
      <c r="D111" s="10" t="s">
        <v>29</v>
      </c>
      <c r="E111" s="10" t="s">
        <v>261</v>
      </c>
      <c r="F111" s="10" t="s">
        <v>31</v>
      </c>
      <c r="G111" s="10" t="s">
        <v>32</v>
      </c>
      <c r="H111" s="11">
        <v>2</v>
      </c>
      <c r="I111" s="11">
        <v>1</v>
      </c>
      <c r="J111" s="10" t="s">
        <v>318</v>
      </c>
      <c r="K111" s="12" t="s">
        <v>404</v>
      </c>
      <c r="L111" s="17" t="s">
        <v>405</v>
      </c>
      <c r="M111" s="14">
        <v>3</v>
      </c>
      <c r="N111" s="14">
        <v>0</v>
      </c>
      <c r="O111" s="14">
        <v>10</v>
      </c>
      <c r="P111" s="14">
        <v>45</v>
      </c>
      <c r="Q111" s="14" t="s">
        <v>201</v>
      </c>
      <c r="R111" s="23" t="s">
        <v>26</v>
      </c>
      <c r="S111" s="14" t="str">
        <f t="shared" si="3"/>
        <v>drop_incomplete</v>
      </c>
      <c r="T111" s="14" t="str">
        <f t="shared" si="4"/>
        <v/>
      </c>
      <c r="U111" s="14" t="str">
        <f t="shared" si="5"/>
        <v/>
      </c>
    </row>
    <row r="112" spans="1:21" ht="92.1" customHeight="1">
      <c r="A112" s="8">
        <v>19</v>
      </c>
      <c r="B112" s="9" t="s">
        <v>37</v>
      </c>
      <c r="C112" s="10" t="s">
        <v>38</v>
      </c>
      <c r="D112" s="10" t="s">
        <v>39</v>
      </c>
      <c r="E112" s="10" t="s">
        <v>108</v>
      </c>
      <c r="F112" s="10" t="s">
        <v>41</v>
      </c>
      <c r="G112" s="10" t="s">
        <v>42</v>
      </c>
      <c r="H112" s="11">
        <v>3</v>
      </c>
      <c r="I112" s="11">
        <v>3</v>
      </c>
      <c r="J112" s="10" t="s">
        <v>406</v>
      </c>
      <c r="K112" s="12" t="s">
        <v>407</v>
      </c>
      <c r="L112" s="17" t="s">
        <v>408</v>
      </c>
      <c r="M112" s="14">
        <v>3</v>
      </c>
      <c r="N112" s="14">
        <v>0</v>
      </c>
      <c r="O112" s="14">
        <v>0</v>
      </c>
      <c r="P112" s="14">
        <v>0</v>
      </c>
      <c r="Q112" s="14">
        <v>100</v>
      </c>
      <c r="R112" s="23" t="s">
        <v>36</v>
      </c>
      <c r="S112" s="14" t="str">
        <f t="shared" si="3"/>
        <v/>
      </c>
      <c r="T112" s="14" t="str">
        <f t="shared" si="4"/>
        <v/>
      </c>
      <c r="U112" s="14" t="str">
        <f t="shared" si="5"/>
        <v/>
      </c>
    </row>
    <row r="113" spans="1:21" ht="80.099999999999994" customHeight="1">
      <c r="A113" s="8">
        <v>19</v>
      </c>
      <c r="B113" s="9" t="s">
        <v>46</v>
      </c>
      <c r="C113" s="10" t="s">
        <v>47</v>
      </c>
      <c r="D113" s="10" t="s">
        <v>48</v>
      </c>
      <c r="E113" s="10" t="s">
        <v>156</v>
      </c>
      <c r="F113" s="10" t="s">
        <v>50</v>
      </c>
      <c r="G113" s="10" t="s">
        <v>51</v>
      </c>
      <c r="H113" s="11">
        <v>3</v>
      </c>
      <c r="I113" s="11">
        <v>2</v>
      </c>
      <c r="J113" s="10" t="s">
        <v>409</v>
      </c>
      <c r="K113" s="12" t="s">
        <v>410</v>
      </c>
      <c r="L113" s="17" t="s">
        <v>411</v>
      </c>
      <c r="M113" s="14">
        <v>3</v>
      </c>
      <c r="N113" s="14">
        <v>0</v>
      </c>
      <c r="O113" s="14">
        <v>0</v>
      </c>
      <c r="P113" s="14">
        <v>20</v>
      </c>
      <c r="Q113" s="14">
        <v>80</v>
      </c>
      <c r="R113" s="23" t="s">
        <v>36</v>
      </c>
      <c r="S113" s="14" t="str">
        <f t="shared" si="3"/>
        <v/>
      </c>
      <c r="T113" s="14" t="str">
        <f t="shared" si="4"/>
        <v/>
      </c>
      <c r="U113" s="14" t="str">
        <f t="shared" si="5"/>
        <v/>
      </c>
    </row>
    <row r="114" spans="1:21" ht="20.100000000000001" customHeight="1">
      <c r="A114" s="8">
        <v>19</v>
      </c>
      <c r="B114" s="9" t="s">
        <v>55</v>
      </c>
      <c r="C114" s="10" t="s">
        <v>56</v>
      </c>
      <c r="D114" s="10" t="s">
        <v>57</v>
      </c>
      <c r="E114" s="10" t="s">
        <v>160</v>
      </c>
      <c r="F114" s="10" t="s">
        <v>59</v>
      </c>
      <c r="G114" s="10" t="s">
        <v>60</v>
      </c>
      <c r="H114" s="11">
        <v>3</v>
      </c>
      <c r="I114" s="11">
        <v>1</v>
      </c>
      <c r="J114" s="10" t="s">
        <v>412</v>
      </c>
      <c r="K114" s="10" t="s">
        <v>413</v>
      </c>
      <c r="L114" s="17" t="s">
        <v>414</v>
      </c>
      <c r="M114" s="14">
        <v>3</v>
      </c>
      <c r="N114" s="14">
        <v>0</v>
      </c>
      <c r="O114" s="14">
        <v>100</v>
      </c>
      <c r="P114" s="14">
        <v>0</v>
      </c>
      <c r="Q114" s="14">
        <v>0</v>
      </c>
      <c r="R114" s="23" t="s">
        <v>36</v>
      </c>
      <c r="S114" s="14" t="str">
        <f t="shared" si="3"/>
        <v/>
      </c>
      <c r="T114" s="14" t="str">
        <f t="shared" si="4"/>
        <v/>
      </c>
      <c r="U114" s="14" t="str">
        <f t="shared" si="5"/>
        <v/>
      </c>
    </row>
    <row r="115" spans="1:21" ht="104.1" customHeight="1">
      <c r="A115" s="8">
        <v>19</v>
      </c>
      <c r="B115" s="9" t="s">
        <v>65</v>
      </c>
      <c r="C115" s="10" t="s">
        <v>66</v>
      </c>
      <c r="D115" s="10" t="s">
        <v>67</v>
      </c>
      <c r="E115" s="10" t="s">
        <v>96</v>
      </c>
      <c r="F115" s="10" t="s">
        <v>69</v>
      </c>
      <c r="G115" s="10" t="s">
        <v>70</v>
      </c>
      <c r="H115" s="11">
        <v>2</v>
      </c>
      <c r="I115" s="11">
        <v>2</v>
      </c>
      <c r="J115" s="10" t="s">
        <v>71</v>
      </c>
      <c r="K115" s="12" t="s">
        <v>415</v>
      </c>
      <c r="L115" s="17" t="s">
        <v>416</v>
      </c>
      <c r="M115" s="14">
        <v>3</v>
      </c>
      <c r="N115" s="14">
        <v>0</v>
      </c>
      <c r="O115" s="14">
        <v>0</v>
      </c>
      <c r="P115" s="14">
        <v>10</v>
      </c>
      <c r="Q115" s="14">
        <v>90</v>
      </c>
      <c r="R115" s="23" t="s">
        <v>26</v>
      </c>
      <c r="S115" s="14" t="str">
        <f t="shared" si="3"/>
        <v/>
      </c>
      <c r="T115" s="14" t="str">
        <f t="shared" si="4"/>
        <v/>
      </c>
      <c r="U115" s="14" t="str">
        <f t="shared" si="5"/>
        <v/>
      </c>
    </row>
    <row r="116" spans="1:21" ht="80.099999999999994" customHeight="1">
      <c r="A116" s="8">
        <v>20</v>
      </c>
      <c r="B116" s="9" t="s">
        <v>17</v>
      </c>
      <c r="C116" s="10" t="s">
        <v>18</v>
      </c>
      <c r="D116" s="10" t="s">
        <v>19</v>
      </c>
      <c r="E116" s="10" t="s">
        <v>20</v>
      </c>
      <c r="F116" s="10" t="s">
        <v>21</v>
      </c>
      <c r="G116" s="10" t="s">
        <v>22</v>
      </c>
      <c r="H116" s="11">
        <v>2</v>
      </c>
      <c r="I116" s="11">
        <v>2</v>
      </c>
      <c r="J116" s="10" t="s">
        <v>75</v>
      </c>
      <c r="K116" s="12" t="s">
        <v>417</v>
      </c>
      <c r="L116" s="17" t="s">
        <v>418</v>
      </c>
      <c r="M116" s="14">
        <v>3</v>
      </c>
      <c r="N116" s="14">
        <v>0</v>
      </c>
      <c r="O116" s="14">
        <v>0</v>
      </c>
      <c r="P116" s="14">
        <v>20</v>
      </c>
      <c r="Q116" s="14">
        <v>80</v>
      </c>
      <c r="R116" s="23" t="s">
        <v>26</v>
      </c>
      <c r="S116" s="14" t="str">
        <f t="shared" si="3"/>
        <v/>
      </c>
      <c r="T116" s="14" t="str">
        <f t="shared" si="4"/>
        <v/>
      </c>
      <c r="U116" s="14" t="str">
        <f t="shared" si="5"/>
        <v/>
      </c>
    </row>
    <row r="117" spans="1:21" ht="104.1" customHeight="1">
      <c r="A117" s="8">
        <v>20</v>
      </c>
      <c r="B117" s="9" t="s">
        <v>27</v>
      </c>
      <c r="C117" s="10" t="s">
        <v>28</v>
      </c>
      <c r="D117" s="10" t="s">
        <v>29</v>
      </c>
      <c r="E117" s="10" t="s">
        <v>261</v>
      </c>
      <c r="F117" s="10" t="s">
        <v>31</v>
      </c>
      <c r="G117" s="10" t="s">
        <v>32</v>
      </c>
      <c r="H117" s="11">
        <v>2</v>
      </c>
      <c r="I117" s="11">
        <v>1</v>
      </c>
      <c r="J117" s="10" t="s">
        <v>419</v>
      </c>
      <c r="K117" s="12" t="s">
        <v>420</v>
      </c>
      <c r="L117" s="17" t="s">
        <v>421</v>
      </c>
      <c r="M117" s="14">
        <v>3</v>
      </c>
      <c r="N117" s="14">
        <v>0</v>
      </c>
      <c r="O117" s="14">
        <v>0</v>
      </c>
      <c r="P117" s="14">
        <v>20</v>
      </c>
      <c r="Q117" s="14">
        <v>80</v>
      </c>
      <c r="R117" s="23" t="s">
        <v>26</v>
      </c>
      <c r="S117" s="14" t="str">
        <f t="shared" si="3"/>
        <v/>
      </c>
      <c r="T117" s="14" t="str">
        <f t="shared" si="4"/>
        <v/>
      </c>
      <c r="U117" s="14" t="str">
        <f t="shared" si="5"/>
        <v/>
      </c>
    </row>
    <row r="118" spans="1:21" ht="104.1" customHeight="1">
      <c r="A118" s="8">
        <v>20</v>
      </c>
      <c r="B118" s="9" t="s">
        <v>37</v>
      </c>
      <c r="C118" s="10" t="s">
        <v>38</v>
      </c>
      <c r="D118" s="10" t="s">
        <v>39</v>
      </c>
      <c r="E118" s="10" t="s">
        <v>40</v>
      </c>
      <c r="F118" s="10" t="s">
        <v>41</v>
      </c>
      <c r="G118" s="10" t="s">
        <v>42</v>
      </c>
      <c r="H118" s="11">
        <v>3</v>
      </c>
      <c r="I118" s="11">
        <v>2</v>
      </c>
      <c r="J118" s="10" t="s">
        <v>422</v>
      </c>
      <c r="K118" s="12" t="s">
        <v>423</v>
      </c>
      <c r="L118" s="17" t="s">
        <v>424</v>
      </c>
      <c r="M118" s="14">
        <v>3</v>
      </c>
      <c r="N118" s="14">
        <v>0</v>
      </c>
      <c r="O118" s="14">
        <v>0</v>
      </c>
      <c r="P118" s="14">
        <v>100</v>
      </c>
      <c r="Q118" s="14">
        <v>0</v>
      </c>
      <c r="R118" s="23" t="s">
        <v>36</v>
      </c>
      <c r="S118" s="14" t="str">
        <f t="shared" si="3"/>
        <v/>
      </c>
      <c r="T118" s="14" t="str">
        <f t="shared" si="4"/>
        <v/>
      </c>
      <c r="U118" s="14" t="str">
        <f t="shared" si="5"/>
        <v/>
      </c>
    </row>
    <row r="119" spans="1:21" ht="80.099999999999994" customHeight="1">
      <c r="A119" s="8">
        <v>20</v>
      </c>
      <c r="B119" s="9" t="s">
        <v>46</v>
      </c>
      <c r="C119" s="10" t="s">
        <v>47</v>
      </c>
      <c r="D119" s="10" t="s">
        <v>48</v>
      </c>
      <c r="E119" s="10" t="s">
        <v>49</v>
      </c>
      <c r="F119" s="10" t="s">
        <v>50</v>
      </c>
      <c r="G119" s="10" t="s">
        <v>51</v>
      </c>
      <c r="H119" s="11">
        <v>1</v>
      </c>
      <c r="I119" s="11">
        <v>1</v>
      </c>
      <c r="J119" s="10" t="s">
        <v>425</v>
      </c>
      <c r="K119" s="12" t="s">
        <v>426</v>
      </c>
      <c r="L119" s="17" t="s">
        <v>427</v>
      </c>
      <c r="M119" s="14">
        <v>3</v>
      </c>
      <c r="N119" s="14">
        <v>0</v>
      </c>
      <c r="O119" s="14">
        <v>5</v>
      </c>
      <c r="P119" s="14">
        <v>15</v>
      </c>
      <c r="Q119" s="14">
        <v>80</v>
      </c>
      <c r="R119" s="23" t="s">
        <v>26</v>
      </c>
      <c r="S119" s="14" t="str">
        <f t="shared" si="3"/>
        <v/>
      </c>
      <c r="T119" s="14" t="str">
        <f t="shared" si="4"/>
        <v/>
      </c>
      <c r="U119" s="14" t="str">
        <f t="shared" si="5"/>
        <v/>
      </c>
    </row>
    <row r="120" spans="1:21" ht="104.1" customHeight="1">
      <c r="A120" s="8">
        <v>20</v>
      </c>
      <c r="B120" s="9" t="s">
        <v>55</v>
      </c>
      <c r="C120" s="10" t="s">
        <v>56</v>
      </c>
      <c r="D120" s="10" t="s">
        <v>57</v>
      </c>
      <c r="E120" s="10" t="s">
        <v>160</v>
      </c>
      <c r="F120" s="10" t="s">
        <v>59</v>
      </c>
      <c r="G120" s="10" t="s">
        <v>60</v>
      </c>
      <c r="H120" s="11">
        <v>3</v>
      </c>
      <c r="I120" s="11">
        <v>1</v>
      </c>
      <c r="J120" s="10" t="s">
        <v>412</v>
      </c>
      <c r="K120" s="12" t="s">
        <v>428</v>
      </c>
      <c r="L120" s="17" t="s">
        <v>429</v>
      </c>
      <c r="M120" s="14">
        <v>3</v>
      </c>
      <c r="N120" s="14">
        <v>0</v>
      </c>
      <c r="O120" s="14">
        <v>90</v>
      </c>
      <c r="P120" s="14">
        <v>10</v>
      </c>
      <c r="Q120" s="14">
        <v>0</v>
      </c>
      <c r="R120" s="23" t="s">
        <v>36</v>
      </c>
      <c r="S120" s="14" t="str">
        <f t="shared" si="3"/>
        <v/>
      </c>
      <c r="T120" s="14" t="str">
        <f t="shared" si="4"/>
        <v/>
      </c>
      <c r="U120" s="14" t="str">
        <f t="shared" si="5"/>
        <v/>
      </c>
    </row>
    <row r="121" spans="1:21" ht="116.1" customHeight="1">
      <c r="A121" s="8">
        <v>20</v>
      </c>
      <c r="B121" s="9" t="s">
        <v>65</v>
      </c>
      <c r="C121" s="10" t="s">
        <v>66</v>
      </c>
      <c r="D121" s="10" t="s">
        <v>67</v>
      </c>
      <c r="E121" s="10" t="s">
        <v>68</v>
      </c>
      <c r="F121" s="10" t="s">
        <v>69</v>
      </c>
      <c r="G121" s="10" t="s">
        <v>70</v>
      </c>
      <c r="H121" s="11">
        <v>3</v>
      </c>
      <c r="I121" s="11">
        <v>3</v>
      </c>
      <c r="J121" s="10" t="s">
        <v>186</v>
      </c>
      <c r="K121" s="12" t="s">
        <v>430</v>
      </c>
      <c r="L121" s="17" t="s">
        <v>431</v>
      </c>
      <c r="M121" s="14">
        <v>3</v>
      </c>
      <c r="N121" s="14">
        <v>0</v>
      </c>
      <c r="O121" s="14">
        <v>0</v>
      </c>
      <c r="P121" s="14">
        <v>0</v>
      </c>
      <c r="Q121" s="14">
        <v>100</v>
      </c>
      <c r="R121" s="23" t="s">
        <v>36</v>
      </c>
      <c r="S121" s="14" t="str">
        <f t="shared" si="3"/>
        <v/>
      </c>
      <c r="T121" s="14" t="str">
        <f t="shared" si="4"/>
        <v/>
      </c>
      <c r="U121" s="14" t="str">
        <f t="shared" si="5"/>
        <v/>
      </c>
    </row>
    <row r="122" spans="1:21" ht="80.099999999999994" customHeight="1">
      <c r="A122" s="8">
        <v>21</v>
      </c>
      <c r="B122" s="9" t="s">
        <v>17</v>
      </c>
      <c r="C122" s="10" t="s">
        <v>18</v>
      </c>
      <c r="D122" s="10" t="s">
        <v>19</v>
      </c>
      <c r="E122" s="10" t="s">
        <v>20</v>
      </c>
      <c r="F122" s="10" t="s">
        <v>21</v>
      </c>
      <c r="G122" s="10" t="s">
        <v>22</v>
      </c>
      <c r="H122" s="11">
        <v>2</v>
      </c>
      <c r="I122" s="11">
        <v>2</v>
      </c>
      <c r="J122" s="10" t="s">
        <v>432</v>
      </c>
      <c r="K122" s="12" t="s">
        <v>433</v>
      </c>
      <c r="L122" s="17" t="s">
        <v>434</v>
      </c>
      <c r="M122" s="14">
        <v>3</v>
      </c>
      <c r="N122" s="14">
        <v>0</v>
      </c>
      <c r="O122" s="14">
        <v>0</v>
      </c>
      <c r="P122" s="14">
        <v>20</v>
      </c>
      <c r="Q122" s="14">
        <v>80</v>
      </c>
      <c r="R122" s="23" t="s">
        <v>26</v>
      </c>
      <c r="S122" s="14" t="str">
        <f t="shared" si="3"/>
        <v/>
      </c>
      <c r="T122" s="14" t="str">
        <f t="shared" si="4"/>
        <v/>
      </c>
      <c r="U122" s="14" t="str">
        <f t="shared" si="5"/>
        <v/>
      </c>
    </row>
    <row r="123" spans="1:21" ht="104.1" customHeight="1">
      <c r="A123" s="8">
        <v>21</v>
      </c>
      <c r="B123" s="9" t="s">
        <v>27</v>
      </c>
      <c r="C123" s="10" t="s">
        <v>28</v>
      </c>
      <c r="D123" s="10" t="s">
        <v>29</v>
      </c>
      <c r="E123" s="10" t="s">
        <v>148</v>
      </c>
      <c r="F123" s="10" t="s">
        <v>31</v>
      </c>
      <c r="G123" s="10" t="s">
        <v>32</v>
      </c>
      <c r="H123" s="11">
        <v>1</v>
      </c>
      <c r="I123" s="11">
        <v>1</v>
      </c>
      <c r="J123" s="10" t="s">
        <v>211</v>
      </c>
      <c r="K123" s="12" t="s">
        <v>435</v>
      </c>
      <c r="L123" s="17" t="s">
        <v>436</v>
      </c>
      <c r="M123" s="14">
        <v>3</v>
      </c>
      <c r="N123" s="14">
        <v>0</v>
      </c>
      <c r="O123" s="14">
        <v>10</v>
      </c>
      <c r="P123" s="14">
        <v>30</v>
      </c>
      <c r="Q123" s="14">
        <v>60</v>
      </c>
      <c r="R123" s="23" t="s">
        <v>26</v>
      </c>
      <c r="S123" s="14" t="str">
        <f t="shared" si="3"/>
        <v/>
      </c>
      <c r="T123" s="14" t="str">
        <f t="shared" si="4"/>
        <v/>
      </c>
      <c r="U123" s="14" t="str">
        <f t="shared" si="5"/>
        <v/>
      </c>
    </row>
    <row r="124" spans="1:21" ht="80.099999999999994" customHeight="1">
      <c r="A124" s="8">
        <v>21</v>
      </c>
      <c r="B124" s="9" t="s">
        <v>37</v>
      </c>
      <c r="C124" s="10" t="s">
        <v>38</v>
      </c>
      <c r="D124" s="10" t="s">
        <v>39</v>
      </c>
      <c r="E124" s="10" t="s">
        <v>108</v>
      </c>
      <c r="F124" s="10" t="s">
        <v>41</v>
      </c>
      <c r="G124" s="10" t="s">
        <v>42</v>
      </c>
      <c r="H124" s="11">
        <v>3</v>
      </c>
      <c r="I124" s="11">
        <v>3</v>
      </c>
      <c r="J124" s="10" t="s">
        <v>437</v>
      </c>
      <c r="K124" s="12" t="s">
        <v>438</v>
      </c>
      <c r="L124" s="17" t="s">
        <v>439</v>
      </c>
      <c r="M124" s="14">
        <v>3</v>
      </c>
      <c r="N124" s="14">
        <v>0</v>
      </c>
      <c r="O124" s="14">
        <v>0</v>
      </c>
      <c r="P124" s="14">
        <v>0</v>
      </c>
      <c r="Q124" s="14">
        <v>100</v>
      </c>
      <c r="R124" s="23" t="s">
        <v>36</v>
      </c>
      <c r="S124" s="14" t="str">
        <f t="shared" si="3"/>
        <v/>
      </c>
      <c r="T124" s="14" t="str">
        <f t="shared" si="4"/>
        <v/>
      </c>
      <c r="U124" s="14" t="str">
        <f t="shared" si="5"/>
        <v/>
      </c>
    </row>
    <row r="125" spans="1:21" ht="116.1" customHeight="1">
      <c r="A125" s="8">
        <v>21</v>
      </c>
      <c r="B125" s="9" t="s">
        <v>46</v>
      </c>
      <c r="C125" s="10" t="s">
        <v>47</v>
      </c>
      <c r="D125" s="10" t="s">
        <v>48</v>
      </c>
      <c r="E125" s="10" t="s">
        <v>86</v>
      </c>
      <c r="F125" s="10" t="s">
        <v>50</v>
      </c>
      <c r="G125" s="10" t="s">
        <v>51</v>
      </c>
      <c r="H125" s="11">
        <v>2</v>
      </c>
      <c r="I125" s="11">
        <v>1</v>
      </c>
      <c r="J125" s="10" t="s">
        <v>440</v>
      </c>
      <c r="K125" s="12" t="s">
        <v>441</v>
      </c>
      <c r="L125" s="17" t="s">
        <v>442</v>
      </c>
      <c r="M125" s="14">
        <v>3</v>
      </c>
      <c r="N125" s="14">
        <v>0</v>
      </c>
      <c r="O125" s="14">
        <v>10</v>
      </c>
      <c r="P125" s="14">
        <v>30</v>
      </c>
      <c r="Q125" s="14" t="s">
        <v>169</v>
      </c>
      <c r="R125" s="23" t="s">
        <v>26</v>
      </c>
      <c r="S125" s="14" t="str">
        <f t="shared" si="3"/>
        <v>drop_incomplete</v>
      </c>
      <c r="T125" s="14" t="str">
        <f t="shared" si="4"/>
        <v/>
      </c>
      <c r="U125" s="14" t="str">
        <f t="shared" si="5"/>
        <v/>
      </c>
    </row>
    <row r="126" spans="1:21" ht="104.1" customHeight="1">
      <c r="A126" s="8">
        <v>21</v>
      </c>
      <c r="B126" s="9" t="s">
        <v>55</v>
      </c>
      <c r="C126" s="10" t="s">
        <v>56</v>
      </c>
      <c r="D126" s="10" t="s">
        <v>57</v>
      </c>
      <c r="E126" s="10" t="s">
        <v>116</v>
      </c>
      <c r="F126" s="10" t="s">
        <v>59</v>
      </c>
      <c r="G126" s="10" t="s">
        <v>60</v>
      </c>
      <c r="H126" s="11">
        <v>3</v>
      </c>
      <c r="I126" s="11">
        <v>2</v>
      </c>
      <c r="J126" s="10" t="s">
        <v>443</v>
      </c>
      <c r="K126" s="12" t="s">
        <v>444</v>
      </c>
      <c r="L126" s="17" t="s">
        <v>445</v>
      </c>
      <c r="M126" s="14">
        <v>3</v>
      </c>
      <c r="N126" s="14">
        <v>0</v>
      </c>
      <c r="O126" s="14">
        <v>0</v>
      </c>
      <c r="P126" s="14">
        <v>100</v>
      </c>
      <c r="Q126" s="14">
        <v>0</v>
      </c>
      <c r="R126" s="23" t="s">
        <v>36</v>
      </c>
      <c r="S126" s="14" t="str">
        <f t="shared" si="3"/>
        <v/>
      </c>
      <c r="T126" s="14" t="str">
        <f t="shared" si="4"/>
        <v/>
      </c>
      <c r="U126" s="14" t="str">
        <f t="shared" si="5"/>
        <v/>
      </c>
    </row>
    <row r="127" spans="1:21" ht="80.099999999999994" customHeight="1">
      <c r="A127" s="8">
        <v>21</v>
      </c>
      <c r="B127" s="9" t="s">
        <v>65</v>
      </c>
      <c r="C127" s="10" t="s">
        <v>66</v>
      </c>
      <c r="D127" s="10" t="s">
        <v>67</v>
      </c>
      <c r="E127" s="10" t="s">
        <v>446</v>
      </c>
      <c r="F127" s="10" t="s">
        <v>69</v>
      </c>
      <c r="G127" s="10" t="s">
        <v>70</v>
      </c>
      <c r="H127" s="11">
        <v>3</v>
      </c>
      <c r="I127" s="11">
        <v>1</v>
      </c>
      <c r="J127" s="10" t="s">
        <v>447</v>
      </c>
      <c r="K127" s="12" t="s">
        <v>448</v>
      </c>
      <c r="L127" s="17" t="s">
        <v>449</v>
      </c>
      <c r="M127" s="14">
        <v>3</v>
      </c>
      <c r="N127" s="14">
        <v>0</v>
      </c>
      <c r="O127" s="14">
        <v>100</v>
      </c>
      <c r="P127" s="14">
        <v>0</v>
      </c>
      <c r="Q127" s="14">
        <v>0</v>
      </c>
      <c r="R127" s="23" t="s">
        <v>36</v>
      </c>
      <c r="S127" s="14" t="str">
        <f t="shared" si="3"/>
        <v/>
      </c>
      <c r="T127" s="14" t="str">
        <f t="shared" si="4"/>
        <v/>
      </c>
      <c r="U127" s="14" t="str">
        <f t="shared" si="5"/>
        <v/>
      </c>
    </row>
    <row r="128" spans="1:21" ht="104.1" customHeight="1">
      <c r="A128" s="8">
        <v>22</v>
      </c>
      <c r="B128" s="9" t="s">
        <v>17</v>
      </c>
      <c r="C128" s="10" t="s">
        <v>18</v>
      </c>
      <c r="D128" s="10" t="s">
        <v>19</v>
      </c>
      <c r="E128" s="10" t="s">
        <v>74</v>
      </c>
      <c r="F128" s="10" t="s">
        <v>21</v>
      </c>
      <c r="G128" s="10" t="s">
        <v>22</v>
      </c>
      <c r="H128" s="11">
        <v>3</v>
      </c>
      <c r="I128" s="11">
        <v>3</v>
      </c>
      <c r="J128" s="10" t="s">
        <v>450</v>
      </c>
      <c r="K128" s="12" t="s">
        <v>451</v>
      </c>
      <c r="L128" s="17" t="s">
        <v>452</v>
      </c>
      <c r="M128" s="14">
        <v>3</v>
      </c>
      <c r="N128" s="14">
        <v>0</v>
      </c>
      <c r="O128" s="14">
        <v>0</v>
      </c>
      <c r="P128" s="14">
        <v>0</v>
      </c>
      <c r="Q128" s="14">
        <v>100</v>
      </c>
      <c r="R128" s="23" t="s">
        <v>36</v>
      </c>
      <c r="S128" s="14" t="str">
        <f t="shared" si="3"/>
        <v/>
      </c>
      <c r="T128" s="14" t="str">
        <f t="shared" si="4"/>
        <v/>
      </c>
      <c r="U128" s="14" t="str">
        <f t="shared" si="5"/>
        <v/>
      </c>
    </row>
    <row r="129" spans="1:21" ht="80.099999999999994" customHeight="1">
      <c r="A129" s="8">
        <v>22</v>
      </c>
      <c r="B129" s="9" t="s">
        <v>27</v>
      </c>
      <c r="C129" s="10" t="s">
        <v>28</v>
      </c>
      <c r="D129" s="10" t="s">
        <v>29</v>
      </c>
      <c r="E129" s="10" t="s">
        <v>148</v>
      </c>
      <c r="F129" s="10" t="s">
        <v>31</v>
      </c>
      <c r="G129" s="10" t="s">
        <v>32</v>
      </c>
      <c r="H129" s="11">
        <v>1</v>
      </c>
      <c r="I129" s="11">
        <v>1</v>
      </c>
      <c r="J129" s="10" t="s">
        <v>318</v>
      </c>
      <c r="K129" s="12" t="s">
        <v>453</v>
      </c>
      <c r="L129" s="17" t="s">
        <v>454</v>
      </c>
      <c r="M129" s="14">
        <v>3</v>
      </c>
      <c r="N129" s="14">
        <v>0</v>
      </c>
      <c r="O129" s="14">
        <v>10</v>
      </c>
      <c r="P129" s="14">
        <v>40</v>
      </c>
      <c r="Q129" s="14">
        <v>50</v>
      </c>
      <c r="R129" s="23" t="s">
        <v>26</v>
      </c>
      <c r="S129" s="14" t="str">
        <f t="shared" si="3"/>
        <v/>
      </c>
      <c r="T129" s="14" t="str">
        <f t="shared" si="4"/>
        <v/>
      </c>
      <c r="U129" s="14" t="str">
        <f t="shared" si="5"/>
        <v/>
      </c>
    </row>
    <row r="130" spans="1:21" ht="80.099999999999994" customHeight="1">
      <c r="A130" s="8">
        <v>22</v>
      </c>
      <c r="B130" s="9" t="s">
        <v>37</v>
      </c>
      <c r="C130" s="10" t="s">
        <v>38</v>
      </c>
      <c r="D130" s="10" t="s">
        <v>39</v>
      </c>
      <c r="E130" s="10" t="s">
        <v>176</v>
      </c>
      <c r="F130" s="10" t="s">
        <v>41</v>
      </c>
      <c r="G130" s="10" t="s">
        <v>42</v>
      </c>
      <c r="H130" s="11">
        <v>2</v>
      </c>
      <c r="I130" s="11">
        <v>1</v>
      </c>
      <c r="J130" s="10" t="s">
        <v>455</v>
      </c>
      <c r="K130" s="12" t="s">
        <v>456</v>
      </c>
      <c r="L130" s="17" t="s">
        <v>457</v>
      </c>
      <c r="M130" s="14">
        <v>3</v>
      </c>
      <c r="N130" s="14">
        <v>0</v>
      </c>
      <c r="O130" s="14">
        <v>0</v>
      </c>
      <c r="P130" s="14">
        <v>40</v>
      </c>
      <c r="Q130" s="14">
        <v>60</v>
      </c>
      <c r="R130" s="23" t="s">
        <v>26</v>
      </c>
      <c r="S130" s="14" t="str">
        <f t="shared" si="3"/>
        <v/>
      </c>
      <c r="T130" s="14" t="str">
        <f t="shared" si="4"/>
        <v/>
      </c>
      <c r="U130" s="14" t="str">
        <f t="shared" si="5"/>
        <v/>
      </c>
    </row>
    <row r="131" spans="1:21" ht="80.099999999999994" customHeight="1">
      <c r="A131" s="8">
        <v>22</v>
      </c>
      <c r="B131" s="9" t="s">
        <v>46</v>
      </c>
      <c r="C131" s="10" t="s">
        <v>47</v>
      </c>
      <c r="D131" s="10" t="s">
        <v>48</v>
      </c>
      <c r="E131" s="10" t="s">
        <v>286</v>
      </c>
      <c r="F131" s="10" t="s">
        <v>50</v>
      </c>
      <c r="G131" s="10" t="s">
        <v>51</v>
      </c>
      <c r="H131" s="11">
        <v>2</v>
      </c>
      <c r="I131" s="11">
        <v>2</v>
      </c>
      <c r="J131" s="10" t="s">
        <v>458</v>
      </c>
      <c r="K131" s="12" t="s">
        <v>459</v>
      </c>
      <c r="L131" s="17" t="s">
        <v>460</v>
      </c>
      <c r="M131" s="14">
        <v>3</v>
      </c>
      <c r="N131" s="14">
        <v>0</v>
      </c>
      <c r="O131" s="14">
        <v>0</v>
      </c>
      <c r="P131" s="14">
        <v>10</v>
      </c>
      <c r="Q131" s="14">
        <v>90</v>
      </c>
      <c r="R131" s="23" t="s">
        <v>26</v>
      </c>
      <c r="S131" s="14" t="str">
        <f t="shared" ref="S131:S194" si="6">IF(AND(ISNUMBER(N131), ISNUMBER(O131), ISNUMBER(P131), ISNUMBER(Q131)), "", "drop_incomplete")</f>
        <v/>
      </c>
      <c r="T131" s="14" t="str">
        <f t="shared" ref="T131:T194" si="7">IF(M131 &lt;&gt; 3, "drop_wrongPrior", "")</f>
        <v/>
      </c>
      <c r="U131" s="14" t="str">
        <f t="shared" ref="U131:U194" si="8">IF(AND(H131 = 3, R131 &lt;&gt; "Y"), "wrongKnowledge",
    IF(OR(R131 = "uncertain", R131 = "uncertain N"), "wrongKnowledge",
       IF(AND(H131 &lt;&gt; 3, R131 = "Y"), "wrongKnowledge", "")))</f>
        <v/>
      </c>
    </row>
    <row r="132" spans="1:21" ht="104.1" customHeight="1">
      <c r="A132" s="8">
        <v>22</v>
      </c>
      <c r="B132" s="9" t="s">
        <v>55</v>
      </c>
      <c r="C132" s="10" t="s">
        <v>56</v>
      </c>
      <c r="D132" s="10" t="s">
        <v>57</v>
      </c>
      <c r="E132" s="10" t="s">
        <v>116</v>
      </c>
      <c r="F132" s="10" t="s">
        <v>59</v>
      </c>
      <c r="G132" s="10" t="s">
        <v>60</v>
      </c>
      <c r="H132" s="11">
        <v>3</v>
      </c>
      <c r="I132" s="11">
        <v>2</v>
      </c>
      <c r="J132" s="10" t="s">
        <v>461</v>
      </c>
      <c r="K132" s="12" t="s">
        <v>462</v>
      </c>
      <c r="L132" s="17" t="s">
        <v>463</v>
      </c>
      <c r="M132" s="14">
        <v>3</v>
      </c>
      <c r="N132" s="14">
        <v>0</v>
      </c>
      <c r="O132" s="14">
        <v>0</v>
      </c>
      <c r="P132" s="14">
        <v>100</v>
      </c>
      <c r="Q132" s="14">
        <v>0</v>
      </c>
      <c r="R132" s="23" t="s">
        <v>36</v>
      </c>
      <c r="S132" s="14" t="str">
        <f t="shared" si="6"/>
        <v/>
      </c>
      <c r="T132" s="14" t="str">
        <f t="shared" si="7"/>
        <v/>
      </c>
      <c r="U132" s="14" t="str">
        <f t="shared" si="8"/>
        <v/>
      </c>
    </row>
    <row r="133" spans="1:21" ht="80.099999999999994" customHeight="1">
      <c r="A133" s="8">
        <v>22</v>
      </c>
      <c r="B133" s="9" t="s">
        <v>65</v>
      </c>
      <c r="C133" s="10" t="s">
        <v>66</v>
      </c>
      <c r="D133" s="10" t="s">
        <v>67</v>
      </c>
      <c r="E133" s="10" t="s">
        <v>446</v>
      </c>
      <c r="F133" s="10" t="s">
        <v>69</v>
      </c>
      <c r="G133" s="10" t="s">
        <v>70</v>
      </c>
      <c r="H133" s="11">
        <v>3</v>
      </c>
      <c r="I133" s="11">
        <v>1</v>
      </c>
      <c r="J133" s="10" t="s">
        <v>239</v>
      </c>
      <c r="K133" s="12" t="s">
        <v>464</v>
      </c>
      <c r="L133" s="17" t="s">
        <v>465</v>
      </c>
      <c r="M133" s="14">
        <v>3</v>
      </c>
      <c r="N133" s="14">
        <v>0</v>
      </c>
      <c r="O133" s="14">
        <v>100</v>
      </c>
      <c r="P133" s="14">
        <v>0</v>
      </c>
      <c r="Q133" s="14">
        <v>0</v>
      </c>
      <c r="R133" s="23" t="s">
        <v>36</v>
      </c>
      <c r="S133" s="14" t="str">
        <f t="shared" si="6"/>
        <v/>
      </c>
      <c r="T133" s="14" t="str">
        <f t="shared" si="7"/>
        <v/>
      </c>
      <c r="U133" s="14" t="str">
        <f t="shared" si="8"/>
        <v/>
      </c>
    </row>
    <row r="134" spans="1:21" ht="92.1" customHeight="1">
      <c r="A134" s="8">
        <v>23</v>
      </c>
      <c r="B134" s="9" t="s">
        <v>17</v>
      </c>
      <c r="C134" s="10" t="s">
        <v>18</v>
      </c>
      <c r="D134" s="10" t="s">
        <v>19</v>
      </c>
      <c r="E134" s="10" t="s">
        <v>20</v>
      </c>
      <c r="F134" s="10" t="s">
        <v>21</v>
      </c>
      <c r="G134" s="10" t="s">
        <v>22</v>
      </c>
      <c r="H134" s="11">
        <v>2</v>
      </c>
      <c r="I134" s="11">
        <v>2</v>
      </c>
      <c r="J134" s="10" t="s">
        <v>466</v>
      </c>
      <c r="K134" s="12" t="s">
        <v>467</v>
      </c>
      <c r="L134" s="17" t="s">
        <v>468</v>
      </c>
      <c r="M134" s="14">
        <v>3</v>
      </c>
      <c r="N134" s="14">
        <v>0</v>
      </c>
      <c r="O134" s="14">
        <v>0</v>
      </c>
      <c r="P134" s="14">
        <v>10</v>
      </c>
      <c r="Q134" s="14">
        <v>90</v>
      </c>
      <c r="R134" s="23" t="s">
        <v>26</v>
      </c>
      <c r="S134" s="14" t="str">
        <f t="shared" si="6"/>
        <v/>
      </c>
      <c r="T134" s="14" t="str">
        <f t="shared" si="7"/>
        <v/>
      </c>
      <c r="U134" s="14" t="str">
        <f t="shared" si="8"/>
        <v/>
      </c>
    </row>
    <row r="135" spans="1:21" ht="104.1" customHeight="1">
      <c r="A135" s="8">
        <v>23</v>
      </c>
      <c r="B135" s="9" t="s">
        <v>27</v>
      </c>
      <c r="C135" s="10" t="s">
        <v>28</v>
      </c>
      <c r="D135" s="10" t="s">
        <v>29</v>
      </c>
      <c r="E135" s="10" t="s">
        <v>78</v>
      </c>
      <c r="F135" s="10" t="s">
        <v>31</v>
      </c>
      <c r="G135" s="10" t="s">
        <v>32</v>
      </c>
      <c r="H135" s="11">
        <v>3</v>
      </c>
      <c r="I135" s="11">
        <v>2</v>
      </c>
      <c r="J135" s="10" t="s">
        <v>318</v>
      </c>
      <c r="K135" s="12" t="s">
        <v>469</v>
      </c>
      <c r="L135" s="17" t="s">
        <v>213</v>
      </c>
      <c r="M135" s="14">
        <v>3</v>
      </c>
      <c r="N135" s="14">
        <v>0</v>
      </c>
      <c r="O135" s="14">
        <v>0</v>
      </c>
      <c r="P135" s="14">
        <v>100</v>
      </c>
      <c r="Q135" s="14">
        <v>0</v>
      </c>
      <c r="R135" s="23" t="s">
        <v>36</v>
      </c>
      <c r="S135" s="14" t="str">
        <f t="shared" si="6"/>
        <v/>
      </c>
      <c r="T135" s="14" t="str">
        <f t="shared" si="7"/>
        <v/>
      </c>
      <c r="U135" s="14" t="str">
        <f t="shared" si="8"/>
        <v/>
      </c>
    </row>
    <row r="136" spans="1:21" ht="68.099999999999994" customHeight="1">
      <c r="A136" s="8">
        <v>23</v>
      </c>
      <c r="B136" s="9" t="s">
        <v>37</v>
      </c>
      <c r="C136" s="10" t="s">
        <v>38</v>
      </c>
      <c r="D136" s="10" t="s">
        <v>39</v>
      </c>
      <c r="E136" s="10" t="s">
        <v>176</v>
      </c>
      <c r="F136" s="10" t="s">
        <v>41</v>
      </c>
      <c r="G136" s="10" t="s">
        <v>42</v>
      </c>
      <c r="H136" s="11">
        <v>2</v>
      </c>
      <c r="I136" s="11">
        <v>1</v>
      </c>
      <c r="J136" s="10" t="s">
        <v>470</v>
      </c>
      <c r="K136" s="12" t="s">
        <v>471</v>
      </c>
      <c r="L136" s="17" t="s">
        <v>155</v>
      </c>
      <c r="M136" s="14">
        <v>3</v>
      </c>
      <c r="N136" s="14">
        <v>0</v>
      </c>
      <c r="O136" s="14">
        <v>0</v>
      </c>
      <c r="P136" s="14" t="s">
        <v>293</v>
      </c>
      <c r="Q136" s="14" t="s">
        <v>124</v>
      </c>
      <c r="R136" s="23" t="s">
        <v>26</v>
      </c>
      <c r="S136" s="14" t="str">
        <f t="shared" si="6"/>
        <v>drop_incomplete</v>
      </c>
      <c r="T136" s="14" t="str">
        <f t="shared" si="7"/>
        <v/>
      </c>
      <c r="U136" s="14" t="str">
        <f t="shared" si="8"/>
        <v/>
      </c>
    </row>
    <row r="137" spans="1:21" ht="80.099999999999994" customHeight="1">
      <c r="A137" s="8">
        <v>23</v>
      </c>
      <c r="B137" s="9" t="s">
        <v>46</v>
      </c>
      <c r="C137" s="10" t="s">
        <v>47</v>
      </c>
      <c r="D137" s="10" t="s">
        <v>48</v>
      </c>
      <c r="E137" s="10" t="s">
        <v>112</v>
      </c>
      <c r="F137" s="10" t="s">
        <v>50</v>
      </c>
      <c r="G137" s="10" t="s">
        <v>51</v>
      </c>
      <c r="H137" s="11">
        <v>3</v>
      </c>
      <c r="I137" s="11">
        <v>1</v>
      </c>
      <c r="J137" s="10" t="s">
        <v>472</v>
      </c>
      <c r="K137" s="12" t="s">
        <v>473</v>
      </c>
      <c r="L137" s="17" t="s">
        <v>474</v>
      </c>
      <c r="M137" s="14">
        <v>3</v>
      </c>
      <c r="N137" s="14">
        <v>0</v>
      </c>
      <c r="O137" s="14">
        <v>100</v>
      </c>
      <c r="P137" s="14">
        <v>0</v>
      </c>
      <c r="Q137" s="14">
        <v>0</v>
      </c>
      <c r="R137" s="23" t="s">
        <v>36</v>
      </c>
      <c r="S137" s="14" t="str">
        <f t="shared" si="6"/>
        <v/>
      </c>
      <c r="T137" s="14" t="str">
        <f t="shared" si="7"/>
        <v/>
      </c>
      <c r="U137" s="14" t="str">
        <f t="shared" si="8"/>
        <v/>
      </c>
    </row>
    <row r="138" spans="1:21" ht="20.100000000000001" customHeight="1">
      <c r="A138" s="8">
        <v>23</v>
      </c>
      <c r="B138" s="9" t="s">
        <v>55</v>
      </c>
      <c r="C138" s="10" t="s">
        <v>56</v>
      </c>
      <c r="D138" s="10" t="s">
        <v>57</v>
      </c>
      <c r="E138" s="10" t="s">
        <v>139</v>
      </c>
      <c r="F138" s="10" t="s">
        <v>59</v>
      </c>
      <c r="G138" s="10" t="s">
        <v>60</v>
      </c>
      <c r="H138" s="11">
        <v>3</v>
      </c>
      <c r="I138" s="11">
        <v>3</v>
      </c>
      <c r="J138" s="10" t="s">
        <v>475</v>
      </c>
      <c r="K138" s="10" t="s">
        <v>476</v>
      </c>
      <c r="L138" s="17" t="s">
        <v>477</v>
      </c>
      <c r="M138" s="14" t="s">
        <v>94</v>
      </c>
      <c r="N138" s="14">
        <v>0</v>
      </c>
      <c r="O138" s="14">
        <v>0</v>
      </c>
      <c r="P138" s="14">
        <v>0</v>
      </c>
      <c r="Q138" s="14">
        <v>100</v>
      </c>
      <c r="R138" s="23" t="s">
        <v>36</v>
      </c>
      <c r="S138" s="14" t="str">
        <f t="shared" si="6"/>
        <v/>
      </c>
      <c r="T138" s="14" t="str">
        <f t="shared" si="7"/>
        <v>drop_wrongPrior</v>
      </c>
      <c r="U138" s="14" t="str">
        <f t="shared" si="8"/>
        <v/>
      </c>
    </row>
    <row r="139" spans="1:21" ht="80.099999999999994" customHeight="1">
      <c r="A139" s="8">
        <v>23</v>
      </c>
      <c r="B139" s="9" t="s">
        <v>65</v>
      </c>
      <c r="C139" s="10" t="s">
        <v>66</v>
      </c>
      <c r="D139" s="10" t="s">
        <v>67</v>
      </c>
      <c r="E139" s="10" t="s">
        <v>120</v>
      </c>
      <c r="F139" s="10" t="s">
        <v>69</v>
      </c>
      <c r="G139" s="10" t="s">
        <v>70</v>
      </c>
      <c r="H139" s="11">
        <v>1</v>
      </c>
      <c r="I139" s="11">
        <v>1</v>
      </c>
      <c r="J139" s="10" t="s">
        <v>478</v>
      </c>
      <c r="K139" s="12" t="s">
        <v>479</v>
      </c>
      <c r="L139" s="17" t="s">
        <v>480</v>
      </c>
      <c r="M139" s="14">
        <v>3</v>
      </c>
      <c r="N139" s="14">
        <v>0</v>
      </c>
      <c r="O139" s="14">
        <v>10</v>
      </c>
      <c r="P139" s="14">
        <v>20</v>
      </c>
      <c r="Q139" s="14">
        <v>70</v>
      </c>
      <c r="R139" s="23" t="s">
        <v>332</v>
      </c>
      <c r="S139" s="14" t="str">
        <f t="shared" si="6"/>
        <v/>
      </c>
      <c r="T139" s="14" t="str">
        <f t="shared" si="7"/>
        <v/>
      </c>
      <c r="U139" s="14" t="str">
        <f t="shared" si="8"/>
        <v>wrongKnowledge</v>
      </c>
    </row>
    <row r="140" spans="1:21" ht="20.100000000000001" customHeight="1">
      <c r="A140" s="8">
        <v>24</v>
      </c>
      <c r="B140" s="9" t="s">
        <v>17</v>
      </c>
      <c r="C140" s="10" t="s">
        <v>18</v>
      </c>
      <c r="D140" s="10" t="s">
        <v>19</v>
      </c>
      <c r="E140" s="10" t="s">
        <v>74</v>
      </c>
      <c r="F140" s="10" t="s">
        <v>21</v>
      </c>
      <c r="G140" s="10" t="s">
        <v>22</v>
      </c>
      <c r="H140" s="11">
        <v>3</v>
      </c>
      <c r="I140" s="11">
        <v>3</v>
      </c>
      <c r="J140" s="10" t="s">
        <v>297</v>
      </c>
      <c r="K140" s="10" t="s">
        <v>481</v>
      </c>
      <c r="L140" s="17" t="s">
        <v>482</v>
      </c>
      <c r="M140" s="14">
        <v>3</v>
      </c>
      <c r="N140" s="14">
        <v>0</v>
      </c>
      <c r="O140" s="14">
        <v>0</v>
      </c>
      <c r="P140" s="14">
        <v>0</v>
      </c>
      <c r="Q140" s="14">
        <v>100</v>
      </c>
      <c r="R140" s="23" t="s">
        <v>36</v>
      </c>
      <c r="S140" s="14" t="str">
        <f t="shared" si="6"/>
        <v/>
      </c>
      <c r="T140" s="14" t="str">
        <f t="shared" si="7"/>
        <v/>
      </c>
      <c r="U140" s="14" t="str">
        <f t="shared" si="8"/>
        <v/>
      </c>
    </row>
    <row r="141" spans="1:21" ht="104.1" customHeight="1">
      <c r="A141" s="8">
        <v>24</v>
      </c>
      <c r="B141" s="9" t="s">
        <v>27</v>
      </c>
      <c r="C141" s="10" t="s">
        <v>28</v>
      </c>
      <c r="D141" s="10" t="s">
        <v>29</v>
      </c>
      <c r="E141" s="10" t="s">
        <v>78</v>
      </c>
      <c r="F141" s="10" t="s">
        <v>31</v>
      </c>
      <c r="G141" s="10" t="s">
        <v>32</v>
      </c>
      <c r="H141" s="11">
        <v>3</v>
      </c>
      <c r="I141" s="11">
        <v>2</v>
      </c>
      <c r="J141" s="10" t="s">
        <v>173</v>
      </c>
      <c r="K141" s="12" t="s">
        <v>483</v>
      </c>
      <c r="L141" s="17" t="s">
        <v>320</v>
      </c>
      <c r="M141" s="14">
        <v>3</v>
      </c>
      <c r="N141" s="14">
        <v>0</v>
      </c>
      <c r="O141" s="14">
        <v>0</v>
      </c>
      <c r="P141" s="14">
        <v>100</v>
      </c>
      <c r="Q141" s="14">
        <v>0</v>
      </c>
      <c r="R141" s="23" t="s">
        <v>36</v>
      </c>
      <c r="S141" s="14" t="str">
        <f t="shared" si="6"/>
        <v/>
      </c>
      <c r="T141" s="14" t="str">
        <f t="shared" si="7"/>
        <v/>
      </c>
      <c r="U141" s="14" t="str">
        <f t="shared" si="8"/>
        <v/>
      </c>
    </row>
    <row r="142" spans="1:21" ht="80.099999999999994" customHeight="1">
      <c r="A142" s="8">
        <v>24</v>
      </c>
      <c r="B142" s="9" t="s">
        <v>37</v>
      </c>
      <c r="C142" s="10" t="s">
        <v>38</v>
      </c>
      <c r="D142" s="10" t="s">
        <v>39</v>
      </c>
      <c r="E142" s="10" t="s">
        <v>132</v>
      </c>
      <c r="F142" s="10" t="s">
        <v>41</v>
      </c>
      <c r="G142" s="10" t="s">
        <v>42</v>
      </c>
      <c r="H142" s="11">
        <v>1</v>
      </c>
      <c r="I142" s="11">
        <v>1</v>
      </c>
      <c r="J142" s="10" t="s">
        <v>484</v>
      </c>
      <c r="K142" s="12" t="s">
        <v>485</v>
      </c>
      <c r="L142" s="17" t="s">
        <v>486</v>
      </c>
      <c r="M142" s="14">
        <v>3</v>
      </c>
      <c r="N142" s="14">
        <v>0</v>
      </c>
      <c r="O142" s="14">
        <v>10</v>
      </c>
      <c r="P142" s="14">
        <v>30</v>
      </c>
      <c r="Q142" s="14">
        <v>60</v>
      </c>
      <c r="R142" s="23" t="s">
        <v>26</v>
      </c>
      <c r="S142" s="14" t="str">
        <f t="shared" si="6"/>
        <v/>
      </c>
      <c r="T142" s="14" t="str">
        <f t="shared" si="7"/>
        <v/>
      </c>
      <c r="U142" s="14" t="str">
        <f t="shared" si="8"/>
        <v/>
      </c>
    </row>
    <row r="143" spans="1:21" ht="116.1" customHeight="1">
      <c r="A143" s="8">
        <v>24</v>
      </c>
      <c r="B143" s="9" t="s">
        <v>46</v>
      </c>
      <c r="C143" s="10" t="s">
        <v>47</v>
      </c>
      <c r="D143" s="10" t="s">
        <v>48</v>
      </c>
      <c r="E143" s="10" t="s">
        <v>86</v>
      </c>
      <c r="F143" s="10" t="s">
        <v>50</v>
      </c>
      <c r="G143" s="10" t="s">
        <v>51</v>
      </c>
      <c r="H143" s="11">
        <v>2</v>
      </c>
      <c r="I143" s="11">
        <v>1</v>
      </c>
      <c r="J143" s="10" t="s">
        <v>487</v>
      </c>
      <c r="K143" s="12" t="s">
        <v>488</v>
      </c>
      <c r="L143" s="17" t="s">
        <v>489</v>
      </c>
      <c r="M143" s="14">
        <v>3</v>
      </c>
      <c r="N143" s="14">
        <v>0</v>
      </c>
      <c r="O143" s="14">
        <v>10</v>
      </c>
      <c r="P143" s="14">
        <v>45</v>
      </c>
      <c r="Q143" s="14">
        <v>45</v>
      </c>
      <c r="R143" s="23" t="s">
        <v>26</v>
      </c>
      <c r="S143" s="14" t="str">
        <f t="shared" si="6"/>
        <v/>
      </c>
      <c r="T143" s="14" t="str">
        <f t="shared" si="7"/>
        <v/>
      </c>
      <c r="U143" s="14" t="str">
        <f t="shared" si="8"/>
        <v/>
      </c>
    </row>
    <row r="144" spans="1:21" ht="104.1" customHeight="1">
      <c r="A144" s="8">
        <v>24</v>
      </c>
      <c r="B144" s="9" t="s">
        <v>55</v>
      </c>
      <c r="C144" s="10" t="s">
        <v>56</v>
      </c>
      <c r="D144" s="10" t="s">
        <v>57</v>
      </c>
      <c r="E144" s="10" t="s">
        <v>377</v>
      </c>
      <c r="F144" s="10" t="s">
        <v>59</v>
      </c>
      <c r="G144" s="10" t="s">
        <v>60</v>
      </c>
      <c r="H144" s="11">
        <v>2</v>
      </c>
      <c r="I144" s="11">
        <v>2</v>
      </c>
      <c r="J144" s="10" t="s">
        <v>490</v>
      </c>
      <c r="K144" s="12" t="s">
        <v>491</v>
      </c>
      <c r="L144" s="17" t="s">
        <v>492</v>
      </c>
      <c r="M144" s="14" t="s">
        <v>94</v>
      </c>
      <c r="N144" s="14">
        <v>0</v>
      </c>
      <c r="O144" s="14">
        <v>0</v>
      </c>
      <c r="P144" s="14">
        <v>20</v>
      </c>
      <c r="Q144" s="14">
        <v>80</v>
      </c>
      <c r="R144" s="23" t="s">
        <v>26</v>
      </c>
      <c r="S144" s="14" t="str">
        <f t="shared" si="6"/>
        <v/>
      </c>
      <c r="T144" s="14" t="str">
        <f t="shared" si="7"/>
        <v>drop_wrongPrior</v>
      </c>
      <c r="U144" s="14" t="str">
        <f t="shared" si="8"/>
        <v/>
      </c>
    </row>
    <row r="145" spans="1:21" ht="92.1" customHeight="1">
      <c r="A145" s="8">
        <v>24</v>
      </c>
      <c r="B145" s="9" t="s">
        <v>65</v>
      </c>
      <c r="C145" s="10" t="s">
        <v>66</v>
      </c>
      <c r="D145" s="10" t="s">
        <v>67</v>
      </c>
      <c r="E145" s="10" t="s">
        <v>446</v>
      </c>
      <c r="F145" s="10" t="s">
        <v>69</v>
      </c>
      <c r="G145" s="10" t="s">
        <v>70</v>
      </c>
      <c r="H145" s="11">
        <v>3</v>
      </c>
      <c r="I145" s="11">
        <v>1</v>
      </c>
      <c r="J145" s="10" t="s">
        <v>71</v>
      </c>
      <c r="K145" s="12" t="s">
        <v>493</v>
      </c>
      <c r="L145" s="17" t="s">
        <v>494</v>
      </c>
      <c r="M145" s="14">
        <v>3</v>
      </c>
      <c r="N145" s="14">
        <v>0</v>
      </c>
      <c r="O145" s="14">
        <v>100</v>
      </c>
      <c r="P145" s="14">
        <v>0</v>
      </c>
      <c r="Q145" s="14">
        <v>0</v>
      </c>
      <c r="R145" s="23" t="s">
        <v>36</v>
      </c>
      <c r="S145" s="14" t="str">
        <f t="shared" si="6"/>
        <v/>
      </c>
      <c r="T145" s="14" t="str">
        <f t="shared" si="7"/>
        <v/>
      </c>
      <c r="U145" s="14" t="str">
        <f t="shared" si="8"/>
        <v/>
      </c>
    </row>
    <row r="146" spans="1:21" ht="92.1" customHeight="1">
      <c r="A146" s="8">
        <v>25</v>
      </c>
      <c r="B146" s="9" t="s">
        <v>17</v>
      </c>
      <c r="C146" s="10" t="s">
        <v>18</v>
      </c>
      <c r="D146" s="10" t="s">
        <v>19</v>
      </c>
      <c r="E146" s="10" t="s">
        <v>315</v>
      </c>
      <c r="F146" s="10" t="s">
        <v>21</v>
      </c>
      <c r="G146" s="10" t="s">
        <v>22</v>
      </c>
      <c r="H146" s="11">
        <v>1</v>
      </c>
      <c r="I146" s="11">
        <v>1</v>
      </c>
      <c r="J146" s="10" t="s">
        <v>495</v>
      </c>
      <c r="K146" s="12" t="s">
        <v>496</v>
      </c>
      <c r="L146" s="17" t="s">
        <v>497</v>
      </c>
      <c r="M146" s="14">
        <v>3</v>
      </c>
      <c r="N146" s="14">
        <v>0</v>
      </c>
      <c r="O146" s="14">
        <v>0</v>
      </c>
      <c r="P146" s="14" t="s">
        <v>498</v>
      </c>
      <c r="Q146" s="14" t="s">
        <v>169</v>
      </c>
      <c r="R146" s="23" t="s">
        <v>26</v>
      </c>
      <c r="S146" s="14" t="str">
        <f t="shared" si="6"/>
        <v>drop_incomplete</v>
      </c>
      <c r="T146" s="14" t="str">
        <f t="shared" si="7"/>
        <v/>
      </c>
      <c r="U146" s="14" t="str">
        <f t="shared" si="8"/>
        <v/>
      </c>
    </row>
    <row r="147" spans="1:21" ht="80.099999999999994" customHeight="1">
      <c r="A147" s="8">
        <v>25</v>
      </c>
      <c r="B147" s="9" t="s">
        <v>27</v>
      </c>
      <c r="C147" s="10" t="s">
        <v>28</v>
      </c>
      <c r="D147" s="10" t="s">
        <v>29</v>
      </c>
      <c r="E147" s="10" t="s">
        <v>104</v>
      </c>
      <c r="F147" s="10" t="s">
        <v>31</v>
      </c>
      <c r="G147" s="10" t="s">
        <v>32</v>
      </c>
      <c r="H147" s="11">
        <v>2</v>
      </c>
      <c r="I147" s="11">
        <v>2</v>
      </c>
      <c r="J147" s="10" t="s">
        <v>173</v>
      </c>
      <c r="K147" s="12" t="s">
        <v>499</v>
      </c>
      <c r="L147" s="17" t="s">
        <v>500</v>
      </c>
      <c r="M147" s="14">
        <v>3</v>
      </c>
      <c r="N147" s="14">
        <v>0</v>
      </c>
      <c r="O147" s="14">
        <v>0</v>
      </c>
      <c r="P147" s="14">
        <v>20</v>
      </c>
      <c r="Q147" s="14" t="s">
        <v>306</v>
      </c>
      <c r="R147" s="23" t="s">
        <v>26</v>
      </c>
      <c r="S147" s="14" t="str">
        <f t="shared" si="6"/>
        <v>drop_incomplete</v>
      </c>
      <c r="T147" s="14" t="str">
        <f t="shared" si="7"/>
        <v/>
      </c>
      <c r="U147" s="14" t="str">
        <f t="shared" si="8"/>
        <v/>
      </c>
    </row>
    <row r="148" spans="1:21" ht="104.1" customHeight="1">
      <c r="A148" s="8">
        <v>25</v>
      </c>
      <c r="B148" s="9" t="s">
        <v>37</v>
      </c>
      <c r="C148" s="10" t="s">
        <v>38</v>
      </c>
      <c r="D148" s="10" t="s">
        <v>39</v>
      </c>
      <c r="E148" s="10" t="s">
        <v>40</v>
      </c>
      <c r="F148" s="10" t="s">
        <v>41</v>
      </c>
      <c r="G148" s="10" t="s">
        <v>42</v>
      </c>
      <c r="H148" s="11">
        <v>3</v>
      </c>
      <c r="I148" s="11">
        <v>2</v>
      </c>
      <c r="J148" s="10" t="s">
        <v>501</v>
      </c>
      <c r="K148" s="12" t="s">
        <v>502</v>
      </c>
      <c r="L148" s="17" t="s">
        <v>503</v>
      </c>
      <c r="M148" s="14">
        <v>3</v>
      </c>
      <c r="N148" s="14">
        <v>0</v>
      </c>
      <c r="O148" s="14">
        <v>0</v>
      </c>
      <c r="P148" s="14">
        <v>100</v>
      </c>
      <c r="Q148" s="14">
        <v>0</v>
      </c>
      <c r="R148" s="23" t="s">
        <v>36</v>
      </c>
      <c r="S148" s="14" t="str">
        <f t="shared" si="6"/>
        <v/>
      </c>
      <c r="T148" s="14" t="str">
        <f t="shared" si="7"/>
        <v/>
      </c>
      <c r="U148" s="14" t="str">
        <f t="shared" si="8"/>
        <v/>
      </c>
    </row>
    <row r="149" spans="1:21" ht="104.1" customHeight="1">
      <c r="A149" s="8">
        <v>25</v>
      </c>
      <c r="B149" s="9" t="s">
        <v>46</v>
      </c>
      <c r="C149" s="10" t="s">
        <v>47</v>
      </c>
      <c r="D149" s="10" t="s">
        <v>48</v>
      </c>
      <c r="E149" s="10" t="s">
        <v>112</v>
      </c>
      <c r="F149" s="10" t="s">
        <v>50</v>
      </c>
      <c r="G149" s="10" t="s">
        <v>51</v>
      </c>
      <c r="H149" s="11">
        <v>3</v>
      </c>
      <c r="I149" s="11">
        <v>1</v>
      </c>
      <c r="J149" s="10" t="s">
        <v>504</v>
      </c>
      <c r="K149" s="12" t="s">
        <v>505</v>
      </c>
      <c r="L149" s="17" t="s">
        <v>506</v>
      </c>
      <c r="M149" s="14">
        <v>3</v>
      </c>
      <c r="N149" s="14">
        <v>0</v>
      </c>
      <c r="O149" s="14">
        <v>60</v>
      </c>
      <c r="P149" s="14">
        <v>30</v>
      </c>
      <c r="Q149" s="14">
        <v>10</v>
      </c>
      <c r="R149" s="23" t="s">
        <v>36</v>
      </c>
      <c r="S149" s="14" t="str">
        <f t="shared" si="6"/>
        <v/>
      </c>
      <c r="T149" s="14" t="str">
        <f t="shared" si="7"/>
        <v/>
      </c>
      <c r="U149" s="14" t="str">
        <f t="shared" si="8"/>
        <v/>
      </c>
    </row>
    <row r="150" spans="1:21" ht="92.1" customHeight="1">
      <c r="A150" s="8">
        <v>25</v>
      </c>
      <c r="B150" s="9" t="s">
        <v>55</v>
      </c>
      <c r="C150" s="10" t="s">
        <v>56</v>
      </c>
      <c r="D150" s="10" t="s">
        <v>57</v>
      </c>
      <c r="E150" s="10" t="s">
        <v>58</v>
      </c>
      <c r="F150" s="10" t="s">
        <v>59</v>
      </c>
      <c r="G150" s="10" t="s">
        <v>60</v>
      </c>
      <c r="H150" s="11">
        <v>2</v>
      </c>
      <c r="I150" s="11">
        <v>1</v>
      </c>
      <c r="J150" s="10" t="s">
        <v>117</v>
      </c>
      <c r="K150" s="12" t="s">
        <v>507</v>
      </c>
      <c r="L150" s="17" t="s">
        <v>508</v>
      </c>
      <c r="M150" s="14">
        <v>3</v>
      </c>
      <c r="N150" s="14">
        <v>0</v>
      </c>
      <c r="O150" s="14">
        <v>10</v>
      </c>
      <c r="P150" s="14" t="s">
        <v>124</v>
      </c>
      <c r="Q150" s="14" t="s">
        <v>509</v>
      </c>
      <c r="R150" s="23" t="s">
        <v>26</v>
      </c>
      <c r="S150" s="14" t="str">
        <f t="shared" si="6"/>
        <v>drop_incomplete</v>
      </c>
      <c r="T150" s="14" t="str">
        <f t="shared" si="7"/>
        <v/>
      </c>
      <c r="U150" s="14" t="str">
        <f t="shared" si="8"/>
        <v/>
      </c>
    </row>
    <row r="151" spans="1:21" ht="20.100000000000001" customHeight="1">
      <c r="A151" s="8">
        <v>25</v>
      </c>
      <c r="B151" s="9" t="s">
        <v>65</v>
      </c>
      <c r="C151" s="10" t="s">
        <v>66</v>
      </c>
      <c r="D151" s="10" t="s">
        <v>67</v>
      </c>
      <c r="E151" s="10" t="s">
        <v>68</v>
      </c>
      <c r="F151" s="10" t="s">
        <v>69</v>
      </c>
      <c r="G151" s="10" t="s">
        <v>70</v>
      </c>
      <c r="H151" s="11">
        <v>3</v>
      </c>
      <c r="I151" s="11">
        <v>3</v>
      </c>
      <c r="J151" s="10" t="s">
        <v>510</v>
      </c>
      <c r="K151" s="10" t="s">
        <v>511</v>
      </c>
      <c r="L151" s="17" t="s">
        <v>512</v>
      </c>
      <c r="M151" s="14">
        <v>3</v>
      </c>
      <c r="N151" s="14">
        <v>0</v>
      </c>
      <c r="O151" s="14">
        <v>0</v>
      </c>
      <c r="P151" s="14">
        <v>0</v>
      </c>
      <c r="Q151" s="14">
        <v>100</v>
      </c>
      <c r="R151" s="23" t="s">
        <v>36</v>
      </c>
      <c r="S151" s="14" t="str">
        <f t="shared" si="6"/>
        <v/>
      </c>
      <c r="T151" s="14" t="str">
        <f t="shared" si="7"/>
        <v/>
      </c>
      <c r="U151" s="14" t="str">
        <f t="shared" si="8"/>
        <v/>
      </c>
    </row>
    <row r="152" spans="1:21" ht="128.1" customHeight="1">
      <c r="A152" s="8">
        <v>26</v>
      </c>
      <c r="B152" s="9" t="s">
        <v>17</v>
      </c>
      <c r="C152" s="10" t="s">
        <v>18</v>
      </c>
      <c r="D152" s="10" t="s">
        <v>19</v>
      </c>
      <c r="E152" s="10" t="s">
        <v>20</v>
      </c>
      <c r="F152" s="10" t="s">
        <v>21</v>
      </c>
      <c r="G152" s="10" t="s">
        <v>22</v>
      </c>
      <c r="H152" s="11">
        <v>2</v>
      </c>
      <c r="I152" s="11">
        <v>2</v>
      </c>
      <c r="J152" s="10" t="s">
        <v>513</v>
      </c>
      <c r="K152" s="12" t="s">
        <v>514</v>
      </c>
      <c r="L152" s="17" t="s">
        <v>515</v>
      </c>
      <c r="M152" s="14">
        <v>3</v>
      </c>
      <c r="N152" s="14">
        <v>0</v>
      </c>
      <c r="O152" s="14">
        <v>0</v>
      </c>
      <c r="P152" s="14">
        <v>10</v>
      </c>
      <c r="Q152" s="14">
        <v>90</v>
      </c>
      <c r="R152" s="23" t="s">
        <v>26</v>
      </c>
      <c r="S152" s="14" t="str">
        <f t="shared" si="6"/>
        <v/>
      </c>
      <c r="T152" s="14" t="str">
        <f t="shared" si="7"/>
        <v/>
      </c>
      <c r="U152" s="14" t="str">
        <f t="shared" si="8"/>
        <v/>
      </c>
    </row>
    <row r="153" spans="1:21" ht="80.099999999999994" customHeight="1">
      <c r="A153" s="8">
        <v>26</v>
      </c>
      <c r="B153" s="9" t="s">
        <v>27</v>
      </c>
      <c r="C153" s="10" t="s">
        <v>28</v>
      </c>
      <c r="D153" s="10" t="s">
        <v>29</v>
      </c>
      <c r="E153" s="10" t="s">
        <v>261</v>
      </c>
      <c r="F153" s="10" t="s">
        <v>31</v>
      </c>
      <c r="G153" s="10" t="s">
        <v>32</v>
      </c>
      <c r="H153" s="11">
        <v>2</v>
      </c>
      <c r="I153" s="11">
        <v>1</v>
      </c>
      <c r="J153" s="10" t="s">
        <v>105</v>
      </c>
      <c r="K153" s="12" t="s">
        <v>516</v>
      </c>
      <c r="L153" s="17" t="s">
        <v>517</v>
      </c>
      <c r="M153" s="14">
        <v>3</v>
      </c>
      <c r="N153" s="14">
        <v>0</v>
      </c>
      <c r="O153" s="14">
        <v>10</v>
      </c>
      <c r="P153" s="14">
        <v>40</v>
      </c>
      <c r="Q153" s="14">
        <v>50</v>
      </c>
      <c r="R153" s="23" t="s">
        <v>26</v>
      </c>
      <c r="S153" s="14" t="str">
        <f t="shared" si="6"/>
        <v/>
      </c>
      <c r="T153" s="14" t="str">
        <f t="shared" si="7"/>
        <v/>
      </c>
      <c r="U153" s="14" t="str">
        <f t="shared" si="8"/>
        <v/>
      </c>
    </row>
    <row r="154" spans="1:21" ht="104.1" customHeight="1">
      <c r="A154" s="8">
        <v>26</v>
      </c>
      <c r="B154" s="9" t="s">
        <v>37</v>
      </c>
      <c r="C154" s="10" t="s">
        <v>38</v>
      </c>
      <c r="D154" s="10" t="s">
        <v>39</v>
      </c>
      <c r="E154" s="10" t="s">
        <v>82</v>
      </c>
      <c r="F154" s="10" t="s">
        <v>41</v>
      </c>
      <c r="G154" s="10" t="s">
        <v>42</v>
      </c>
      <c r="H154" s="11">
        <v>3</v>
      </c>
      <c r="I154" s="11">
        <v>1</v>
      </c>
      <c r="J154" s="10" t="s">
        <v>518</v>
      </c>
      <c r="K154" s="12" t="s">
        <v>519</v>
      </c>
      <c r="L154" s="17" t="s">
        <v>520</v>
      </c>
      <c r="M154" s="14">
        <v>3</v>
      </c>
      <c r="N154" s="14">
        <v>0</v>
      </c>
      <c r="O154" s="14">
        <v>100</v>
      </c>
      <c r="P154" s="14">
        <v>0</v>
      </c>
      <c r="Q154" s="14">
        <v>0</v>
      </c>
      <c r="R154" s="23" t="s">
        <v>36</v>
      </c>
      <c r="S154" s="14" t="str">
        <f t="shared" si="6"/>
        <v/>
      </c>
      <c r="T154" s="14" t="str">
        <f t="shared" si="7"/>
        <v/>
      </c>
      <c r="U154" s="14" t="str">
        <f t="shared" si="8"/>
        <v/>
      </c>
    </row>
    <row r="155" spans="1:21" ht="104.1" customHeight="1">
      <c r="A155" s="8">
        <v>26</v>
      </c>
      <c r="B155" s="9" t="s">
        <v>46</v>
      </c>
      <c r="C155" s="10" t="s">
        <v>47</v>
      </c>
      <c r="D155" s="10" t="s">
        <v>48</v>
      </c>
      <c r="E155" s="10" t="s">
        <v>307</v>
      </c>
      <c r="F155" s="10" t="s">
        <v>50</v>
      </c>
      <c r="G155" s="10" t="s">
        <v>51</v>
      </c>
      <c r="H155" s="11">
        <v>3</v>
      </c>
      <c r="I155" s="11">
        <v>3</v>
      </c>
      <c r="J155" s="10" t="s">
        <v>521</v>
      </c>
      <c r="K155" s="12" t="s">
        <v>522</v>
      </c>
      <c r="L155" s="17" t="s">
        <v>523</v>
      </c>
      <c r="M155" s="14">
        <v>3</v>
      </c>
      <c r="N155" s="14">
        <v>0</v>
      </c>
      <c r="O155" s="14">
        <v>0</v>
      </c>
      <c r="P155" s="14">
        <v>0</v>
      </c>
      <c r="Q155" s="14">
        <v>100</v>
      </c>
      <c r="R155" s="23" t="s">
        <v>36</v>
      </c>
      <c r="S155" s="14" t="str">
        <f t="shared" si="6"/>
        <v/>
      </c>
      <c r="T155" s="14" t="str">
        <f t="shared" si="7"/>
        <v/>
      </c>
      <c r="U155" s="14" t="str">
        <f t="shared" si="8"/>
        <v/>
      </c>
    </row>
    <row r="156" spans="1:21" ht="80.099999999999994" customHeight="1">
      <c r="A156" s="8">
        <v>26</v>
      </c>
      <c r="B156" s="9" t="s">
        <v>55</v>
      </c>
      <c r="C156" s="10" t="s">
        <v>56</v>
      </c>
      <c r="D156" s="10" t="s">
        <v>57</v>
      </c>
      <c r="E156" s="10" t="s">
        <v>90</v>
      </c>
      <c r="F156" s="10" t="s">
        <v>59</v>
      </c>
      <c r="G156" s="10" t="s">
        <v>60</v>
      </c>
      <c r="H156" s="11">
        <v>1</v>
      </c>
      <c r="I156" s="11">
        <v>1</v>
      </c>
      <c r="J156" s="10" t="s">
        <v>524</v>
      </c>
      <c r="K156" s="12" t="s">
        <v>525</v>
      </c>
      <c r="L156" s="17" t="s">
        <v>526</v>
      </c>
      <c r="M156" s="14">
        <v>3</v>
      </c>
      <c r="N156" s="14">
        <v>0</v>
      </c>
      <c r="O156" s="14">
        <v>10</v>
      </c>
      <c r="P156" s="14">
        <v>30</v>
      </c>
      <c r="Q156" s="14" t="s">
        <v>169</v>
      </c>
      <c r="R156" s="23" t="s">
        <v>26</v>
      </c>
      <c r="S156" s="14" t="str">
        <f t="shared" si="6"/>
        <v>drop_incomplete</v>
      </c>
      <c r="T156" s="14" t="str">
        <f t="shared" si="7"/>
        <v/>
      </c>
      <c r="U156" s="14" t="str">
        <f t="shared" si="8"/>
        <v/>
      </c>
    </row>
    <row r="157" spans="1:21" ht="104.1" customHeight="1">
      <c r="A157" s="8">
        <v>26</v>
      </c>
      <c r="B157" s="9" t="s">
        <v>65</v>
      </c>
      <c r="C157" s="10" t="s">
        <v>66</v>
      </c>
      <c r="D157" s="10" t="s">
        <v>67</v>
      </c>
      <c r="E157" s="10" t="s">
        <v>142</v>
      </c>
      <c r="F157" s="10" t="s">
        <v>69</v>
      </c>
      <c r="G157" s="10" t="s">
        <v>70</v>
      </c>
      <c r="H157" s="11">
        <v>3</v>
      </c>
      <c r="I157" s="11">
        <v>2</v>
      </c>
      <c r="J157" s="10" t="s">
        <v>527</v>
      </c>
      <c r="K157" s="12" t="s">
        <v>528</v>
      </c>
      <c r="L157" s="17" t="s">
        <v>529</v>
      </c>
      <c r="M157" s="14">
        <v>3</v>
      </c>
      <c r="N157" s="14">
        <v>0</v>
      </c>
      <c r="O157" s="14">
        <v>0</v>
      </c>
      <c r="P157" s="14">
        <v>100</v>
      </c>
      <c r="Q157" s="14">
        <v>0</v>
      </c>
      <c r="R157" s="23" t="s">
        <v>36</v>
      </c>
      <c r="S157" s="14" t="str">
        <f t="shared" si="6"/>
        <v/>
      </c>
      <c r="T157" s="14" t="str">
        <f t="shared" si="7"/>
        <v/>
      </c>
      <c r="U157" s="14" t="str">
        <f t="shared" si="8"/>
        <v/>
      </c>
    </row>
    <row r="158" spans="1:21" ht="80.099999999999994" customHeight="1">
      <c r="A158" s="8">
        <v>27</v>
      </c>
      <c r="B158" s="9" t="s">
        <v>17</v>
      </c>
      <c r="C158" s="10" t="s">
        <v>18</v>
      </c>
      <c r="D158" s="10" t="s">
        <v>19</v>
      </c>
      <c r="E158" s="10" t="s">
        <v>125</v>
      </c>
      <c r="F158" s="10" t="s">
        <v>21</v>
      </c>
      <c r="G158" s="10" t="s">
        <v>22</v>
      </c>
      <c r="H158" s="11">
        <v>3</v>
      </c>
      <c r="I158" s="11">
        <v>1</v>
      </c>
      <c r="J158" s="10" t="s">
        <v>530</v>
      </c>
      <c r="K158" s="12" t="s">
        <v>531</v>
      </c>
      <c r="L158" s="17" t="s">
        <v>532</v>
      </c>
      <c r="M158" s="14">
        <v>3</v>
      </c>
      <c r="N158" s="14">
        <v>0</v>
      </c>
      <c r="O158" s="14">
        <v>100</v>
      </c>
      <c r="P158" s="14">
        <v>0</v>
      </c>
      <c r="Q158" s="14">
        <v>0</v>
      </c>
      <c r="R158" s="23" t="s">
        <v>36</v>
      </c>
      <c r="S158" s="14" t="str">
        <f t="shared" si="6"/>
        <v/>
      </c>
      <c r="T158" s="14" t="str">
        <f t="shared" si="7"/>
        <v/>
      </c>
      <c r="U158" s="14" t="str">
        <f t="shared" si="8"/>
        <v/>
      </c>
    </row>
    <row r="159" spans="1:21" ht="104.1" customHeight="1">
      <c r="A159" s="8">
        <v>27</v>
      </c>
      <c r="B159" s="9" t="s">
        <v>27</v>
      </c>
      <c r="C159" s="10" t="s">
        <v>28</v>
      </c>
      <c r="D159" s="10" t="s">
        <v>29</v>
      </c>
      <c r="E159" s="10" t="s">
        <v>148</v>
      </c>
      <c r="F159" s="10" t="s">
        <v>31</v>
      </c>
      <c r="G159" s="10" t="s">
        <v>32</v>
      </c>
      <c r="H159" s="11">
        <v>1</v>
      </c>
      <c r="I159" s="11">
        <v>1</v>
      </c>
      <c r="J159" s="10" t="s">
        <v>105</v>
      </c>
      <c r="K159" s="12" t="s">
        <v>533</v>
      </c>
      <c r="L159" s="17" t="s">
        <v>534</v>
      </c>
      <c r="M159" s="14">
        <v>3</v>
      </c>
      <c r="N159" s="14">
        <v>0</v>
      </c>
      <c r="O159" s="14">
        <v>10</v>
      </c>
      <c r="P159" s="14">
        <v>30</v>
      </c>
      <c r="Q159" s="14">
        <v>60</v>
      </c>
      <c r="R159" s="23" t="s">
        <v>26</v>
      </c>
      <c r="S159" s="14" t="str">
        <f t="shared" si="6"/>
        <v/>
      </c>
      <c r="T159" s="14" t="str">
        <f t="shared" si="7"/>
        <v/>
      </c>
      <c r="U159" s="14" t="str">
        <f t="shared" si="8"/>
        <v/>
      </c>
    </row>
    <row r="160" spans="1:21" ht="104.1" customHeight="1">
      <c r="A160" s="8">
        <v>27</v>
      </c>
      <c r="B160" s="9" t="s">
        <v>37</v>
      </c>
      <c r="C160" s="10" t="s">
        <v>38</v>
      </c>
      <c r="D160" s="10" t="s">
        <v>39</v>
      </c>
      <c r="E160" s="10" t="s">
        <v>40</v>
      </c>
      <c r="F160" s="10" t="s">
        <v>41</v>
      </c>
      <c r="G160" s="10" t="s">
        <v>42</v>
      </c>
      <c r="H160" s="11">
        <v>3</v>
      </c>
      <c r="I160" s="11">
        <v>2</v>
      </c>
      <c r="J160" s="10" t="s">
        <v>535</v>
      </c>
      <c r="K160" s="12" t="s">
        <v>536</v>
      </c>
      <c r="L160" s="17" t="s">
        <v>537</v>
      </c>
      <c r="M160" s="14">
        <v>3</v>
      </c>
      <c r="N160" s="14">
        <v>0</v>
      </c>
      <c r="O160" s="14">
        <v>0</v>
      </c>
      <c r="P160" s="14">
        <v>100</v>
      </c>
      <c r="Q160" s="14">
        <v>0</v>
      </c>
      <c r="R160" s="23" t="s">
        <v>36</v>
      </c>
      <c r="S160" s="14" t="str">
        <f t="shared" si="6"/>
        <v/>
      </c>
      <c r="T160" s="14" t="str">
        <f t="shared" si="7"/>
        <v/>
      </c>
      <c r="U160" s="14" t="str">
        <f t="shared" si="8"/>
        <v/>
      </c>
    </row>
    <row r="161" spans="1:21" ht="104.1" customHeight="1">
      <c r="A161" s="8">
        <v>27</v>
      </c>
      <c r="B161" s="9" t="s">
        <v>46</v>
      </c>
      <c r="C161" s="10" t="s">
        <v>47</v>
      </c>
      <c r="D161" s="10" t="s">
        <v>48</v>
      </c>
      <c r="E161" s="10" t="s">
        <v>307</v>
      </c>
      <c r="F161" s="10" t="s">
        <v>50</v>
      </c>
      <c r="G161" s="10" t="s">
        <v>51</v>
      </c>
      <c r="H161" s="11">
        <v>3</v>
      </c>
      <c r="I161" s="11">
        <v>3</v>
      </c>
      <c r="J161" s="10" t="s">
        <v>538</v>
      </c>
      <c r="K161" s="12" t="s">
        <v>539</v>
      </c>
      <c r="L161" s="17" t="s">
        <v>540</v>
      </c>
      <c r="M161" s="14">
        <v>3</v>
      </c>
      <c r="N161" s="14">
        <v>0</v>
      </c>
      <c r="O161" s="14">
        <v>0</v>
      </c>
      <c r="P161" s="14">
        <v>0</v>
      </c>
      <c r="Q161" s="14">
        <v>100</v>
      </c>
      <c r="R161" s="23" t="s">
        <v>36</v>
      </c>
      <c r="S161" s="14" t="str">
        <f t="shared" si="6"/>
        <v/>
      </c>
      <c r="T161" s="14" t="str">
        <f t="shared" si="7"/>
        <v/>
      </c>
      <c r="U161" s="14" t="str">
        <f t="shared" si="8"/>
        <v/>
      </c>
    </row>
    <row r="162" spans="1:21" ht="80.099999999999994" customHeight="1">
      <c r="A162" s="8">
        <v>27</v>
      </c>
      <c r="B162" s="9" t="s">
        <v>55</v>
      </c>
      <c r="C162" s="10" t="s">
        <v>56</v>
      </c>
      <c r="D162" s="10" t="s">
        <v>57</v>
      </c>
      <c r="E162" s="10" t="s">
        <v>58</v>
      </c>
      <c r="F162" s="10" t="s">
        <v>59</v>
      </c>
      <c r="G162" s="10" t="s">
        <v>60</v>
      </c>
      <c r="H162" s="11">
        <v>2</v>
      </c>
      <c r="I162" s="11">
        <v>1</v>
      </c>
      <c r="J162" s="10" t="s">
        <v>541</v>
      </c>
      <c r="K162" s="12" t="s">
        <v>542</v>
      </c>
      <c r="L162" s="17" t="s">
        <v>543</v>
      </c>
      <c r="M162" s="14" t="s">
        <v>94</v>
      </c>
      <c r="N162" s="14">
        <v>0</v>
      </c>
      <c r="O162" s="14">
        <v>10</v>
      </c>
      <c r="P162" s="14">
        <v>40</v>
      </c>
      <c r="Q162" s="14">
        <v>50</v>
      </c>
      <c r="R162" s="23" t="s">
        <v>26</v>
      </c>
      <c r="S162" s="14" t="str">
        <f t="shared" si="6"/>
        <v/>
      </c>
      <c r="T162" s="14" t="str">
        <f t="shared" si="7"/>
        <v>drop_wrongPrior</v>
      </c>
      <c r="U162" s="14" t="str">
        <f t="shared" si="8"/>
        <v/>
      </c>
    </row>
    <row r="163" spans="1:21" ht="80.099999999999994" customHeight="1">
      <c r="A163" s="8">
        <v>27</v>
      </c>
      <c r="B163" s="9" t="s">
        <v>65</v>
      </c>
      <c r="C163" s="10" t="s">
        <v>66</v>
      </c>
      <c r="D163" s="10" t="s">
        <v>67</v>
      </c>
      <c r="E163" s="10" t="s">
        <v>96</v>
      </c>
      <c r="F163" s="10" t="s">
        <v>69</v>
      </c>
      <c r="G163" s="10" t="s">
        <v>70</v>
      </c>
      <c r="H163" s="11">
        <v>2</v>
      </c>
      <c r="I163" s="11">
        <v>2</v>
      </c>
      <c r="J163" s="10" t="s">
        <v>71</v>
      </c>
      <c r="K163" s="12" t="s">
        <v>544</v>
      </c>
      <c r="L163" s="17" t="s">
        <v>545</v>
      </c>
      <c r="M163" s="14">
        <v>3</v>
      </c>
      <c r="N163" s="14">
        <v>0</v>
      </c>
      <c r="O163" s="14">
        <v>0</v>
      </c>
      <c r="P163" s="14">
        <v>10</v>
      </c>
      <c r="Q163" s="14">
        <v>90</v>
      </c>
      <c r="R163" s="23" t="s">
        <v>26</v>
      </c>
      <c r="S163" s="14" t="str">
        <f t="shared" si="6"/>
        <v/>
      </c>
      <c r="T163" s="14" t="str">
        <f t="shared" si="7"/>
        <v/>
      </c>
      <c r="U163" s="14" t="str">
        <f t="shared" si="8"/>
        <v/>
      </c>
    </row>
    <row r="164" spans="1:21" ht="80.099999999999994" customHeight="1">
      <c r="A164" s="8">
        <v>28</v>
      </c>
      <c r="B164" s="9" t="s">
        <v>17</v>
      </c>
      <c r="C164" s="10" t="s">
        <v>18</v>
      </c>
      <c r="D164" s="10" t="s">
        <v>19</v>
      </c>
      <c r="E164" s="10" t="s">
        <v>315</v>
      </c>
      <c r="F164" s="10" t="s">
        <v>21</v>
      </c>
      <c r="G164" s="10" t="s">
        <v>22</v>
      </c>
      <c r="H164" s="11">
        <v>1</v>
      </c>
      <c r="I164" s="11">
        <v>1</v>
      </c>
      <c r="J164" s="10" t="s">
        <v>101</v>
      </c>
      <c r="K164" s="12" t="s">
        <v>546</v>
      </c>
      <c r="L164" s="17" t="s">
        <v>547</v>
      </c>
      <c r="M164" s="14">
        <v>3</v>
      </c>
      <c r="N164" s="14">
        <v>0</v>
      </c>
      <c r="O164" s="14">
        <v>5</v>
      </c>
      <c r="P164" s="14">
        <v>25</v>
      </c>
      <c r="Q164" s="14">
        <v>70</v>
      </c>
      <c r="R164" s="23" t="s">
        <v>26</v>
      </c>
      <c r="S164" s="14" t="str">
        <f t="shared" si="6"/>
        <v/>
      </c>
      <c r="T164" s="14" t="str">
        <f t="shared" si="7"/>
        <v/>
      </c>
      <c r="U164" s="14" t="str">
        <f t="shared" si="8"/>
        <v/>
      </c>
    </row>
    <row r="165" spans="1:21" ht="80.099999999999994" customHeight="1">
      <c r="A165" s="8">
        <v>28</v>
      </c>
      <c r="B165" s="9" t="s">
        <v>27</v>
      </c>
      <c r="C165" s="10" t="s">
        <v>28</v>
      </c>
      <c r="D165" s="10" t="s">
        <v>29</v>
      </c>
      <c r="E165" s="10" t="s">
        <v>192</v>
      </c>
      <c r="F165" s="10" t="s">
        <v>31</v>
      </c>
      <c r="G165" s="10" t="s">
        <v>32</v>
      </c>
      <c r="H165" s="11">
        <v>3</v>
      </c>
      <c r="I165" s="11">
        <v>3</v>
      </c>
      <c r="J165" s="10" t="s">
        <v>318</v>
      </c>
      <c r="K165" s="12" t="s">
        <v>548</v>
      </c>
      <c r="L165" s="17" t="s">
        <v>549</v>
      </c>
      <c r="M165" s="14">
        <v>3</v>
      </c>
      <c r="N165" s="14">
        <v>0</v>
      </c>
      <c r="O165" s="14">
        <v>0</v>
      </c>
      <c r="P165" s="14">
        <v>0</v>
      </c>
      <c r="Q165" s="14">
        <v>100</v>
      </c>
      <c r="R165" s="23" t="s">
        <v>36</v>
      </c>
      <c r="S165" s="14" t="str">
        <f t="shared" si="6"/>
        <v/>
      </c>
      <c r="T165" s="14" t="str">
        <f t="shared" si="7"/>
        <v/>
      </c>
      <c r="U165" s="14" t="str">
        <f t="shared" si="8"/>
        <v/>
      </c>
    </row>
    <row r="166" spans="1:21" ht="104.1" customHeight="1">
      <c r="A166" s="8">
        <v>28</v>
      </c>
      <c r="B166" s="9" t="s">
        <v>37</v>
      </c>
      <c r="C166" s="10" t="s">
        <v>38</v>
      </c>
      <c r="D166" s="10" t="s">
        <v>39</v>
      </c>
      <c r="E166" s="10" t="s">
        <v>176</v>
      </c>
      <c r="F166" s="10" t="s">
        <v>41</v>
      </c>
      <c r="G166" s="10" t="s">
        <v>42</v>
      </c>
      <c r="H166" s="11">
        <v>2</v>
      </c>
      <c r="I166" s="11">
        <v>1</v>
      </c>
      <c r="J166" s="10" t="s">
        <v>550</v>
      </c>
      <c r="K166" s="12" t="s">
        <v>551</v>
      </c>
      <c r="L166" s="17" t="s">
        <v>552</v>
      </c>
      <c r="M166" s="14">
        <v>3</v>
      </c>
      <c r="N166" s="14">
        <v>0</v>
      </c>
      <c r="O166" s="14">
        <v>20</v>
      </c>
      <c r="P166" s="14">
        <v>30</v>
      </c>
      <c r="Q166" s="14">
        <v>50</v>
      </c>
      <c r="R166" s="23" t="s">
        <v>26</v>
      </c>
      <c r="S166" s="14" t="str">
        <f t="shared" si="6"/>
        <v/>
      </c>
      <c r="T166" s="14" t="str">
        <f t="shared" si="7"/>
        <v/>
      </c>
      <c r="U166" s="14" t="str">
        <f t="shared" si="8"/>
        <v/>
      </c>
    </row>
    <row r="167" spans="1:21" ht="104.1" customHeight="1">
      <c r="A167" s="8">
        <v>28</v>
      </c>
      <c r="B167" s="9" t="s">
        <v>46</v>
      </c>
      <c r="C167" s="10" t="s">
        <v>47</v>
      </c>
      <c r="D167" s="10" t="s">
        <v>48</v>
      </c>
      <c r="E167" s="10" t="s">
        <v>156</v>
      </c>
      <c r="F167" s="10" t="s">
        <v>50</v>
      </c>
      <c r="G167" s="10" t="s">
        <v>51</v>
      </c>
      <c r="H167" s="11">
        <v>3</v>
      </c>
      <c r="I167" s="11">
        <v>2</v>
      </c>
      <c r="J167" s="10" t="s">
        <v>553</v>
      </c>
      <c r="K167" s="12" t="s">
        <v>554</v>
      </c>
      <c r="L167" s="17" t="s">
        <v>555</v>
      </c>
      <c r="M167" s="14">
        <v>3</v>
      </c>
      <c r="N167" s="14">
        <v>0</v>
      </c>
      <c r="O167" s="14">
        <v>0</v>
      </c>
      <c r="P167" s="14">
        <v>100</v>
      </c>
      <c r="Q167" s="14">
        <v>0</v>
      </c>
      <c r="R167" s="23" t="s">
        <v>36</v>
      </c>
      <c r="S167" s="14" t="str">
        <f t="shared" si="6"/>
        <v/>
      </c>
      <c r="T167" s="14" t="str">
        <f t="shared" si="7"/>
        <v/>
      </c>
      <c r="U167" s="14" t="str">
        <f t="shared" si="8"/>
        <v/>
      </c>
    </row>
    <row r="168" spans="1:21" ht="128.1" customHeight="1">
      <c r="A168" s="8">
        <v>28</v>
      </c>
      <c r="B168" s="9" t="s">
        <v>55</v>
      </c>
      <c r="C168" s="10" t="s">
        <v>56</v>
      </c>
      <c r="D168" s="10" t="s">
        <v>57</v>
      </c>
      <c r="E168" s="10" t="s">
        <v>377</v>
      </c>
      <c r="F168" s="10" t="s">
        <v>59</v>
      </c>
      <c r="G168" s="10" t="s">
        <v>60</v>
      </c>
      <c r="H168" s="11">
        <v>2</v>
      </c>
      <c r="I168" s="11">
        <v>2</v>
      </c>
      <c r="J168" s="10" t="s">
        <v>556</v>
      </c>
      <c r="K168" s="12" t="s">
        <v>557</v>
      </c>
      <c r="L168" s="17" t="s">
        <v>558</v>
      </c>
      <c r="M168" s="14">
        <v>3</v>
      </c>
      <c r="N168" s="14">
        <v>0</v>
      </c>
      <c r="O168" s="14">
        <v>0</v>
      </c>
      <c r="P168" s="14">
        <v>10</v>
      </c>
      <c r="Q168" s="14">
        <v>90</v>
      </c>
      <c r="R168" s="23" t="s">
        <v>26</v>
      </c>
      <c r="S168" s="14" t="str">
        <f t="shared" si="6"/>
        <v/>
      </c>
      <c r="T168" s="14" t="str">
        <f t="shared" si="7"/>
        <v/>
      </c>
      <c r="U168" s="14" t="str">
        <f t="shared" si="8"/>
        <v/>
      </c>
    </row>
    <row r="169" spans="1:21" ht="80.099999999999994" customHeight="1">
      <c r="A169" s="8">
        <v>28</v>
      </c>
      <c r="B169" s="9" t="s">
        <v>65</v>
      </c>
      <c r="C169" s="10" t="s">
        <v>66</v>
      </c>
      <c r="D169" s="10" t="s">
        <v>67</v>
      </c>
      <c r="E169" s="10" t="s">
        <v>446</v>
      </c>
      <c r="F169" s="10" t="s">
        <v>69</v>
      </c>
      <c r="G169" s="10" t="s">
        <v>70</v>
      </c>
      <c r="H169" s="11">
        <v>3</v>
      </c>
      <c r="I169" s="11">
        <v>1</v>
      </c>
      <c r="J169" s="10" t="s">
        <v>559</v>
      </c>
      <c r="K169" s="12" t="s">
        <v>560</v>
      </c>
      <c r="L169" s="17" t="s">
        <v>561</v>
      </c>
      <c r="M169" s="14">
        <v>3</v>
      </c>
      <c r="N169" s="14">
        <v>0</v>
      </c>
      <c r="O169" s="14">
        <v>100</v>
      </c>
      <c r="P169" s="14">
        <v>0</v>
      </c>
      <c r="Q169" s="14">
        <v>0</v>
      </c>
      <c r="R169" s="23" t="s">
        <v>36</v>
      </c>
      <c r="S169" s="14" t="str">
        <f t="shared" si="6"/>
        <v/>
      </c>
      <c r="T169" s="14" t="str">
        <f t="shared" si="7"/>
        <v/>
      </c>
      <c r="U169" s="14" t="str">
        <f t="shared" si="8"/>
        <v/>
      </c>
    </row>
    <row r="170" spans="1:21" ht="104.1" customHeight="1">
      <c r="A170" s="8">
        <v>29</v>
      </c>
      <c r="B170" s="9" t="s">
        <v>17</v>
      </c>
      <c r="C170" s="10" t="s">
        <v>18</v>
      </c>
      <c r="D170" s="10" t="s">
        <v>19</v>
      </c>
      <c r="E170" s="10" t="s">
        <v>100</v>
      </c>
      <c r="F170" s="10" t="s">
        <v>21</v>
      </c>
      <c r="G170" s="10" t="s">
        <v>22</v>
      </c>
      <c r="H170" s="11">
        <v>2</v>
      </c>
      <c r="I170" s="11">
        <v>1</v>
      </c>
      <c r="J170" s="10" t="s">
        <v>297</v>
      </c>
      <c r="K170" s="12" t="s">
        <v>562</v>
      </c>
      <c r="L170" s="17" t="s">
        <v>563</v>
      </c>
      <c r="M170" s="14">
        <v>3</v>
      </c>
      <c r="N170" s="14">
        <v>0</v>
      </c>
      <c r="O170" s="14">
        <v>20</v>
      </c>
      <c r="P170" s="14">
        <v>40</v>
      </c>
      <c r="Q170" s="14">
        <v>40</v>
      </c>
      <c r="R170" s="23" t="s">
        <v>26</v>
      </c>
      <c r="S170" s="14" t="str">
        <f t="shared" si="6"/>
        <v/>
      </c>
      <c r="T170" s="14" t="str">
        <f t="shared" si="7"/>
        <v/>
      </c>
      <c r="U170" s="14" t="str">
        <f t="shared" si="8"/>
        <v/>
      </c>
    </row>
    <row r="171" spans="1:21" ht="80.099999999999994" customHeight="1">
      <c r="A171" s="8">
        <v>29</v>
      </c>
      <c r="B171" s="9" t="s">
        <v>27</v>
      </c>
      <c r="C171" s="10" t="s">
        <v>28</v>
      </c>
      <c r="D171" s="10" t="s">
        <v>29</v>
      </c>
      <c r="E171" s="10" t="s">
        <v>104</v>
      </c>
      <c r="F171" s="10" t="s">
        <v>31</v>
      </c>
      <c r="G171" s="10" t="s">
        <v>32</v>
      </c>
      <c r="H171" s="11">
        <v>2</v>
      </c>
      <c r="I171" s="11">
        <v>2</v>
      </c>
      <c r="J171" s="10" t="s">
        <v>300</v>
      </c>
      <c r="K171" s="12" t="s">
        <v>564</v>
      </c>
      <c r="L171" s="17" t="s">
        <v>565</v>
      </c>
      <c r="M171" s="14">
        <v>3</v>
      </c>
      <c r="N171" s="14">
        <v>0</v>
      </c>
      <c r="O171" s="14">
        <v>0</v>
      </c>
      <c r="P171" s="14">
        <v>20</v>
      </c>
      <c r="Q171" s="14">
        <v>80</v>
      </c>
      <c r="R171" s="23" t="s">
        <v>26</v>
      </c>
      <c r="S171" s="14" t="str">
        <f t="shared" si="6"/>
        <v/>
      </c>
      <c r="T171" s="14" t="str">
        <f t="shared" si="7"/>
        <v/>
      </c>
      <c r="U171" s="14" t="str">
        <f t="shared" si="8"/>
        <v/>
      </c>
    </row>
    <row r="172" spans="1:21" ht="80.099999999999994" customHeight="1">
      <c r="A172" s="8">
        <v>29</v>
      </c>
      <c r="B172" s="9" t="s">
        <v>37</v>
      </c>
      <c r="C172" s="10" t="s">
        <v>38</v>
      </c>
      <c r="D172" s="10" t="s">
        <v>39</v>
      </c>
      <c r="E172" s="10" t="s">
        <v>132</v>
      </c>
      <c r="F172" s="10" t="s">
        <v>41</v>
      </c>
      <c r="G172" s="10" t="s">
        <v>42</v>
      </c>
      <c r="H172" s="11">
        <v>1</v>
      </c>
      <c r="I172" s="11">
        <v>1</v>
      </c>
      <c r="J172" s="10" t="s">
        <v>566</v>
      </c>
      <c r="K172" s="12" t="s">
        <v>567</v>
      </c>
      <c r="L172" s="17" t="s">
        <v>568</v>
      </c>
      <c r="M172" s="14">
        <v>3</v>
      </c>
      <c r="N172" s="14">
        <v>0</v>
      </c>
      <c r="O172" s="14">
        <v>5</v>
      </c>
      <c r="P172" s="14">
        <v>15</v>
      </c>
      <c r="Q172" s="14">
        <v>80</v>
      </c>
      <c r="R172" s="23" t="s">
        <v>332</v>
      </c>
      <c r="S172" s="14" t="str">
        <f t="shared" si="6"/>
        <v/>
      </c>
      <c r="T172" s="14" t="str">
        <f t="shared" si="7"/>
        <v/>
      </c>
      <c r="U172" s="14" t="str">
        <f t="shared" si="8"/>
        <v>wrongKnowledge</v>
      </c>
    </row>
    <row r="173" spans="1:21" ht="104.1" customHeight="1">
      <c r="A173" s="8">
        <v>29</v>
      </c>
      <c r="B173" s="9" t="s">
        <v>46</v>
      </c>
      <c r="C173" s="10" t="s">
        <v>47</v>
      </c>
      <c r="D173" s="10" t="s">
        <v>48</v>
      </c>
      <c r="E173" s="10" t="s">
        <v>307</v>
      </c>
      <c r="F173" s="10" t="s">
        <v>50</v>
      </c>
      <c r="G173" s="10" t="s">
        <v>51</v>
      </c>
      <c r="H173" s="11">
        <v>3</v>
      </c>
      <c r="I173" s="11">
        <v>3</v>
      </c>
      <c r="J173" s="10" t="s">
        <v>569</v>
      </c>
      <c r="K173" s="12" t="s">
        <v>570</v>
      </c>
      <c r="L173" s="17" t="s">
        <v>571</v>
      </c>
      <c r="M173" s="14">
        <v>3</v>
      </c>
      <c r="N173" s="14">
        <v>0</v>
      </c>
      <c r="O173" s="14">
        <v>0</v>
      </c>
      <c r="P173" s="14">
        <v>0</v>
      </c>
      <c r="Q173" s="14">
        <v>100</v>
      </c>
      <c r="R173" s="23" t="s">
        <v>36</v>
      </c>
      <c r="S173" s="14" t="str">
        <f t="shared" si="6"/>
        <v/>
      </c>
      <c r="T173" s="14" t="str">
        <f t="shared" si="7"/>
        <v/>
      </c>
      <c r="U173" s="14" t="str">
        <f t="shared" si="8"/>
        <v/>
      </c>
    </row>
    <row r="174" spans="1:21" ht="80.099999999999994" customHeight="1">
      <c r="A174" s="8">
        <v>29</v>
      </c>
      <c r="B174" s="9" t="s">
        <v>55</v>
      </c>
      <c r="C174" s="10" t="s">
        <v>56</v>
      </c>
      <c r="D174" s="10" t="s">
        <v>57</v>
      </c>
      <c r="E174" s="10" t="s">
        <v>160</v>
      </c>
      <c r="F174" s="10" t="s">
        <v>59</v>
      </c>
      <c r="G174" s="10" t="s">
        <v>60</v>
      </c>
      <c r="H174" s="11">
        <v>3</v>
      </c>
      <c r="I174" s="11">
        <v>1</v>
      </c>
      <c r="J174" s="10" t="s">
        <v>572</v>
      </c>
      <c r="K174" s="12" t="s">
        <v>573</v>
      </c>
      <c r="L174" s="17" t="s">
        <v>574</v>
      </c>
      <c r="M174" s="14" t="s">
        <v>94</v>
      </c>
      <c r="N174" s="14">
        <v>0</v>
      </c>
      <c r="O174" s="14">
        <v>100</v>
      </c>
      <c r="P174" s="14">
        <v>0</v>
      </c>
      <c r="Q174" s="14">
        <v>0</v>
      </c>
      <c r="R174" s="23" t="s">
        <v>36</v>
      </c>
      <c r="S174" s="14" t="str">
        <f t="shared" si="6"/>
        <v/>
      </c>
      <c r="T174" s="14" t="str">
        <f t="shared" si="7"/>
        <v>drop_wrongPrior</v>
      </c>
      <c r="U174" s="14" t="str">
        <f t="shared" si="8"/>
        <v/>
      </c>
    </row>
    <row r="175" spans="1:21" ht="68.099999999999994" customHeight="1">
      <c r="A175" s="8">
        <v>29</v>
      </c>
      <c r="B175" s="9" t="s">
        <v>65</v>
      </c>
      <c r="C175" s="10" t="s">
        <v>66</v>
      </c>
      <c r="D175" s="10" t="s">
        <v>67</v>
      </c>
      <c r="E175" s="10" t="s">
        <v>142</v>
      </c>
      <c r="F175" s="10" t="s">
        <v>69</v>
      </c>
      <c r="G175" s="10" t="s">
        <v>70</v>
      </c>
      <c r="H175" s="11">
        <v>3</v>
      </c>
      <c r="I175" s="11">
        <v>2</v>
      </c>
      <c r="J175" s="10" t="s">
        <v>575</v>
      </c>
      <c r="K175" s="12" t="s">
        <v>576</v>
      </c>
      <c r="L175" s="17" t="s">
        <v>577</v>
      </c>
      <c r="M175" s="14">
        <v>3</v>
      </c>
      <c r="N175" s="14">
        <v>0</v>
      </c>
      <c r="O175" s="14">
        <v>0</v>
      </c>
      <c r="P175" s="14">
        <v>100</v>
      </c>
      <c r="Q175" s="14">
        <v>0</v>
      </c>
      <c r="R175" s="23" t="s">
        <v>36</v>
      </c>
      <c r="S175" s="14" t="str">
        <f t="shared" si="6"/>
        <v/>
      </c>
      <c r="T175" s="14" t="str">
        <f t="shared" si="7"/>
        <v/>
      </c>
      <c r="U175" s="14" t="str">
        <f t="shared" si="8"/>
        <v/>
      </c>
    </row>
    <row r="176" spans="1:21" ht="80.099999999999994" customHeight="1">
      <c r="A176" s="8">
        <v>30</v>
      </c>
      <c r="B176" s="9" t="s">
        <v>17</v>
      </c>
      <c r="C176" s="10" t="s">
        <v>18</v>
      </c>
      <c r="D176" s="10" t="s">
        <v>19</v>
      </c>
      <c r="E176" s="10" t="s">
        <v>125</v>
      </c>
      <c r="F176" s="10" t="s">
        <v>21</v>
      </c>
      <c r="G176" s="10" t="s">
        <v>22</v>
      </c>
      <c r="H176" s="11">
        <v>3</v>
      </c>
      <c r="I176" s="11">
        <v>1</v>
      </c>
      <c r="J176" s="10" t="s">
        <v>75</v>
      </c>
      <c r="K176" s="12" t="s">
        <v>578</v>
      </c>
      <c r="L176" s="17" t="s">
        <v>579</v>
      </c>
      <c r="M176" s="14">
        <v>3</v>
      </c>
      <c r="N176" s="14">
        <v>0</v>
      </c>
      <c r="O176" s="14">
        <v>5</v>
      </c>
      <c r="P176" s="14">
        <v>30</v>
      </c>
      <c r="Q176" s="14">
        <v>65</v>
      </c>
      <c r="R176" s="23" t="s">
        <v>36</v>
      </c>
      <c r="S176" s="14" t="str">
        <f t="shared" si="6"/>
        <v/>
      </c>
      <c r="T176" s="14" t="str">
        <f t="shared" si="7"/>
        <v/>
      </c>
      <c r="U176" s="14" t="str">
        <f t="shared" si="8"/>
        <v/>
      </c>
    </row>
    <row r="177" spans="1:21" ht="92.1" customHeight="1">
      <c r="A177" s="8">
        <v>30</v>
      </c>
      <c r="B177" s="9" t="s">
        <v>27</v>
      </c>
      <c r="C177" s="10" t="s">
        <v>28</v>
      </c>
      <c r="D177" s="10" t="s">
        <v>29</v>
      </c>
      <c r="E177" s="10" t="s">
        <v>148</v>
      </c>
      <c r="F177" s="10" t="s">
        <v>31</v>
      </c>
      <c r="G177" s="10" t="s">
        <v>32</v>
      </c>
      <c r="H177" s="11">
        <v>1</v>
      </c>
      <c r="I177" s="11">
        <v>1</v>
      </c>
      <c r="J177" s="10" t="s">
        <v>300</v>
      </c>
      <c r="K177" s="12" t="s">
        <v>580</v>
      </c>
      <c r="L177" s="17" t="s">
        <v>581</v>
      </c>
      <c r="M177" s="14">
        <v>3</v>
      </c>
      <c r="N177" s="14">
        <v>0</v>
      </c>
      <c r="O177" s="14">
        <v>5</v>
      </c>
      <c r="P177" s="14">
        <v>20</v>
      </c>
      <c r="Q177" s="14">
        <v>75</v>
      </c>
      <c r="R177" s="23" t="s">
        <v>26</v>
      </c>
      <c r="S177" s="14" t="str">
        <f t="shared" si="6"/>
        <v/>
      </c>
      <c r="T177" s="14" t="str">
        <f t="shared" si="7"/>
        <v/>
      </c>
      <c r="U177" s="14" t="str">
        <f t="shared" si="8"/>
        <v/>
      </c>
    </row>
    <row r="178" spans="1:21" ht="104.1" customHeight="1">
      <c r="A178" s="8">
        <v>30</v>
      </c>
      <c r="B178" s="9" t="s">
        <v>37</v>
      </c>
      <c r="C178" s="10" t="s">
        <v>38</v>
      </c>
      <c r="D178" s="10" t="s">
        <v>39</v>
      </c>
      <c r="E178" s="10" t="s">
        <v>40</v>
      </c>
      <c r="F178" s="10" t="s">
        <v>41</v>
      </c>
      <c r="G178" s="10" t="s">
        <v>42</v>
      </c>
      <c r="H178" s="11">
        <v>3</v>
      </c>
      <c r="I178" s="11">
        <v>2</v>
      </c>
      <c r="J178" s="10" t="s">
        <v>582</v>
      </c>
      <c r="K178" s="12" t="s">
        <v>583</v>
      </c>
      <c r="L178" s="17" t="s">
        <v>584</v>
      </c>
      <c r="M178" s="14">
        <v>3</v>
      </c>
      <c r="N178" s="14">
        <v>0</v>
      </c>
      <c r="O178" s="14">
        <v>0</v>
      </c>
      <c r="P178" s="14">
        <v>100</v>
      </c>
      <c r="Q178" s="14">
        <v>0</v>
      </c>
      <c r="R178" s="23" t="s">
        <v>36</v>
      </c>
      <c r="S178" s="14" t="str">
        <f t="shared" si="6"/>
        <v/>
      </c>
      <c r="T178" s="14" t="str">
        <f t="shared" si="7"/>
        <v/>
      </c>
      <c r="U178" s="14" t="str">
        <f t="shared" si="8"/>
        <v/>
      </c>
    </row>
    <row r="179" spans="1:21" ht="80.099999999999994" customHeight="1">
      <c r="A179" s="8">
        <v>30</v>
      </c>
      <c r="B179" s="9" t="s">
        <v>46</v>
      </c>
      <c r="C179" s="10" t="s">
        <v>47</v>
      </c>
      <c r="D179" s="10" t="s">
        <v>48</v>
      </c>
      <c r="E179" s="10" t="s">
        <v>86</v>
      </c>
      <c r="F179" s="10" t="s">
        <v>50</v>
      </c>
      <c r="G179" s="10" t="s">
        <v>51</v>
      </c>
      <c r="H179" s="11">
        <v>2</v>
      </c>
      <c r="I179" s="11">
        <v>1</v>
      </c>
      <c r="J179" s="10" t="s">
        <v>585</v>
      </c>
      <c r="K179" s="12" t="s">
        <v>586</v>
      </c>
      <c r="L179" s="17" t="s">
        <v>587</v>
      </c>
      <c r="M179" s="14">
        <v>3</v>
      </c>
      <c r="N179" s="14">
        <v>0</v>
      </c>
      <c r="O179" s="14">
        <v>20</v>
      </c>
      <c r="P179" s="14">
        <v>70</v>
      </c>
      <c r="Q179" s="14">
        <v>10</v>
      </c>
      <c r="R179" s="23" t="s">
        <v>26</v>
      </c>
      <c r="S179" s="14" t="str">
        <f t="shared" si="6"/>
        <v/>
      </c>
      <c r="T179" s="14" t="str">
        <f t="shared" si="7"/>
        <v/>
      </c>
      <c r="U179" s="14" t="str">
        <f t="shared" si="8"/>
        <v/>
      </c>
    </row>
    <row r="180" spans="1:21" ht="80.099999999999994" customHeight="1">
      <c r="A180" s="8">
        <v>30</v>
      </c>
      <c r="B180" s="9" t="s">
        <v>55</v>
      </c>
      <c r="C180" s="10" t="s">
        <v>56</v>
      </c>
      <c r="D180" s="10" t="s">
        <v>57</v>
      </c>
      <c r="E180" s="10" t="s">
        <v>139</v>
      </c>
      <c r="F180" s="10" t="s">
        <v>59</v>
      </c>
      <c r="G180" s="10" t="s">
        <v>60</v>
      </c>
      <c r="H180" s="11">
        <v>3</v>
      </c>
      <c r="I180" s="11">
        <v>3</v>
      </c>
      <c r="J180" s="10" t="s">
        <v>588</v>
      </c>
      <c r="K180" s="12" t="s">
        <v>589</v>
      </c>
      <c r="L180" s="17" t="s">
        <v>590</v>
      </c>
      <c r="M180" s="14">
        <v>3</v>
      </c>
      <c r="N180" s="14">
        <v>0</v>
      </c>
      <c r="O180" s="14">
        <v>0</v>
      </c>
      <c r="P180" s="14">
        <v>0</v>
      </c>
      <c r="Q180" s="14">
        <v>100</v>
      </c>
      <c r="R180" s="23" t="s">
        <v>36</v>
      </c>
      <c r="S180" s="14" t="str">
        <f t="shared" si="6"/>
        <v/>
      </c>
      <c r="T180" s="14" t="str">
        <f t="shared" si="7"/>
        <v/>
      </c>
      <c r="U180" s="14" t="str">
        <f t="shared" si="8"/>
        <v/>
      </c>
    </row>
    <row r="181" spans="1:21" ht="104.1" customHeight="1">
      <c r="A181" s="8">
        <v>30</v>
      </c>
      <c r="B181" s="9" t="s">
        <v>65</v>
      </c>
      <c r="C181" s="10" t="s">
        <v>66</v>
      </c>
      <c r="D181" s="10" t="s">
        <v>67</v>
      </c>
      <c r="E181" s="10" t="s">
        <v>96</v>
      </c>
      <c r="F181" s="10" t="s">
        <v>69</v>
      </c>
      <c r="G181" s="10" t="s">
        <v>70</v>
      </c>
      <c r="H181" s="11">
        <v>2</v>
      </c>
      <c r="I181" s="11">
        <v>2</v>
      </c>
      <c r="J181" s="10" t="s">
        <v>591</v>
      </c>
      <c r="K181" s="12" t="s">
        <v>592</v>
      </c>
      <c r="L181" s="17" t="s">
        <v>593</v>
      </c>
      <c r="M181" s="14">
        <v>3</v>
      </c>
      <c r="N181" s="14">
        <v>0</v>
      </c>
      <c r="O181" s="14">
        <v>0</v>
      </c>
      <c r="P181" s="14">
        <v>10</v>
      </c>
      <c r="Q181" s="14">
        <v>90</v>
      </c>
      <c r="R181" s="23" t="s">
        <v>26</v>
      </c>
      <c r="S181" s="14" t="str">
        <f t="shared" si="6"/>
        <v/>
      </c>
      <c r="T181" s="14" t="str">
        <f t="shared" si="7"/>
        <v/>
      </c>
      <c r="U181" s="14" t="str">
        <f t="shared" si="8"/>
        <v/>
      </c>
    </row>
    <row r="182" spans="1:21" ht="80.099999999999994" customHeight="1">
      <c r="A182" s="8">
        <v>31</v>
      </c>
      <c r="B182" s="9" t="s">
        <v>17</v>
      </c>
      <c r="C182" s="10" t="s">
        <v>18</v>
      </c>
      <c r="D182" s="10" t="s">
        <v>19</v>
      </c>
      <c r="E182" s="10" t="s">
        <v>100</v>
      </c>
      <c r="F182" s="10" t="s">
        <v>21</v>
      </c>
      <c r="G182" s="10" t="s">
        <v>22</v>
      </c>
      <c r="H182" s="11">
        <v>2</v>
      </c>
      <c r="I182" s="11">
        <v>1</v>
      </c>
      <c r="J182" s="10" t="s">
        <v>594</v>
      </c>
      <c r="K182" s="12" t="s">
        <v>595</v>
      </c>
      <c r="L182" s="17" t="s">
        <v>596</v>
      </c>
      <c r="M182" s="14">
        <v>3</v>
      </c>
      <c r="N182" s="14">
        <v>0</v>
      </c>
      <c r="O182" s="14">
        <v>20</v>
      </c>
      <c r="P182" s="14">
        <v>40</v>
      </c>
      <c r="Q182" s="14">
        <v>40</v>
      </c>
      <c r="R182" s="23" t="s">
        <v>26</v>
      </c>
      <c r="S182" s="14" t="str">
        <f t="shared" si="6"/>
        <v/>
      </c>
      <c r="T182" s="14" t="str">
        <f t="shared" si="7"/>
        <v/>
      </c>
      <c r="U182" s="14" t="str">
        <f t="shared" si="8"/>
        <v/>
      </c>
    </row>
    <row r="183" spans="1:21" ht="104.1" customHeight="1">
      <c r="A183" s="8">
        <v>31</v>
      </c>
      <c r="B183" s="9" t="s">
        <v>27</v>
      </c>
      <c r="C183" s="10" t="s">
        <v>28</v>
      </c>
      <c r="D183" s="10" t="s">
        <v>29</v>
      </c>
      <c r="E183" s="10" t="s">
        <v>78</v>
      </c>
      <c r="F183" s="10" t="s">
        <v>31</v>
      </c>
      <c r="G183" s="10" t="s">
        <v>32</v>
      </c>
      <c r="H183" s="11">
        <v>3</v>
      </c>
      <c r="I183" s="11">
        <v>2</v>
      </c>
      <c r="J183" s="10" t="s">
        <v>173</v>
      </c>
      <c r="K183" s="12" t="s">
        <v>597</v>
      </c>
      <c r="L183" s="17" t="s">
        <v>598</v>
      </c>
      <c r="M183" s="14">
        <v>3</v>
      </c>
      <c r="N183" s="14">
        <v>0</v>
      </c>
      <c r="O183" s="14">
        <v>0</v>
      </c>
      <c r="P183" s="14">
        <v>100</v>
      </c>
      <c r="Q183" s="14">
        <v>0</v>
      </c>
      <c r="R183" s="23" t="s">
        <v>36</v>
      </c>
      <c r="S183" s="14" t="str">
        <f t="shared" si="6"/>
        <v/>
      </c>
      <c r="T183" s="14" t="str">
        <f t="shared" si="7"/>
        <v/>
      </c>
      <c r="U183" s="14" t="str">
        <f t="shared" si="8"/>
        <v/>
      </c>
    </row>
    <row r="184" spans="1:21" ht="104.1" customHeight="1">
      <c r="A184" s="8">
        <v>31</v>
      </c>
      <c r="B184" s="9" t="s">
        <v>37</v>
      </c>
      <c r="C184" s="10" t="s">
        <v>38</v>
      </c>
      <c r="D184" s="10" t="s">
        <v>39</v>
      </c>
      <c r="E184" s="10" t="s">
        <v>82</v>
      </c>
      <c r="F184" s="10" t="s">
        <v>41</v>
      </c>
      <c r="G184" s="10" t="s">
        <v>42</v>
      </c>
      <c r="H184" s="11">
        <v>3</v>
      </c>
      <c r="I184" s="11">
        <v>1</v>
      </c>
      <c r="J184" s="10" t="s">
        <v>599</v>
      </c>
      <c r="K184" s="12" t="s">
        <v>600</v>
      </c>
      <c r="L184" s="17" t="s">
        <v>601</v>
      </c>
      <c r="M184" s="14">
        <v>3</v>
      </c>
      <c r="N184" s="14">
        <v>0</v>
      </c>
      <c r="O184" s="14">
        <v>100</v>
      </c>
      <c r="P184" s="14">
        <v>0</v>
      </c>
      <c r="Q184" s="14">
        <v>0</v>
      </c>
      <c r="R184" s="23" t="s">
        <v>36</v>
      </c>
      <c r="S184" s="14" t="str">
        <f t="shared" si="6"/>
        <v/>
      </c>
      <c r="T184" s="14" t="str">
        <f t="shared" si="7"/>
        <v/>
      </c>
      <c r="U184" s="14" t="str">
        <f t="shared" si="8"/>
        <v/>
      </c>
    </row>
    <row r="185" spans="1:21" ht="116.1" customHeight="1">
      <c r="A185" s="8">
        <v>31</v>
      </c>
      <c r="B185" s="9" t="s">
        <v>46</v>
      </c>
      <c r="C185" s="10" t="s">
        <v>47</v>
      </c>
      <c r="D185" s="10" t="s">
        <v>48</v>
      </c>
      <c r="E185" s="10" t="s">
        <v>286</v>
      </c>
      <c r="F185" s="10" t="s">
        <v>50</v>
      </c>
      <c r="G185" s="10" t="s">
        <v>51</v>
      </c>
      <c r="H185" s="11">
        <v>2</v>
      </c>
      <c r="I185" s="11">
        <v>2</v>
      </c>
      <c r="J185" s="10" t="s">
        <v>602</v>
      </c>
      <c r="K185" s="12" t="s">
        <v>603</v>
      </c>
      <c r="L185" s="17" t="s">
        <v>604</v>
      </c>
      <c r="M185" s="14">
        <v>3</v>
      </c>
      <c r="N185" s="14">
        <v>0</v>
      </c>
      <c r="O185" s="14">
        <v>0</v>
      </c>
      <c r="P185" s="14">
        <v>10</v>
      </c>
      <c r="Q185" s="14">
        <v>90</v>
      </c>
      <c r="R185" s="23" t="s">
        <v>26</v>
      </c>
      <c r="S185" s="14" t="str">
        <f t="shared" si="6"/>
        <v/>
      </c>
      <c r="T185" s="14" t="str">
        <f t="shared" si="7"/>
        <v/>
      </c>
      <c r="U185" s="14" t="str">
        <f t="shared" si="8"/>
        <v/>
      </c>
    </row>
    <row r="186" spans="1:21" ht="80.099999999999994" customHeight="1">
      <c r="A186" s="8">
        <v>31</v>
      </c>
      <c r="B186" s="9" t="s">
        <v>55</v>
      </c>
      <c r="C186" s="10" t="s">
        <v>56</v>
      </c>
      <c r="D186" s="10" t="s">
        <v>57</v>
      </c>
      <c r="E186" s="10" t="s">
        <v>139</v>
      </c>
      <c r="F186" s="10" t="s">
        <v>59</v>
      </c>
      <c r="G186" s="10" t="s">
        <v>60</v>
      </c>
      <c r="H186" s="11">
        <v>3</v>
      </c>
      <c r="I186" s="11">
        <v>3</v>
      </c>
      <c r="J186" s="10" t="s">
        <v>605</v>
      </c>
      <c r="K186" s="12" t="s">
        <v>606</v>
      </c>
      <c r="L186" s="17" t="s">
        <v>607</v>
      </c>
      <c r="M186" s="14">
        <v>3</v>
      </c>
      <c r="N186" s="14">
        <v>0</v>
      </c>
      <c r="O186" s="14">
        <v>0</v>
      </c>
      <c r="P186" s="14">
        <v>0</v>
      </c>
      <c r="Q186" s="14">
        <v>100</v>
      </c>
      <c r="R186" s="23" t="s">
        <v>36</v>
      </c>
      <c r="S186" s="14" t="str">
        <f t="shared" si="6"/>
        <v/>
      </c>
      <c r="T186" s="14" t="str">
        <f t="shared" si="7"/>
        <v/>
      </c>
      <c r="U186" s="14" t="str">
        <f t="shared" si="8"/>
        <v/>
      </c>
    </row>
    <row r="187" spans="1:21" ht="80.099999999999994" customHeight="1">
      <c r="A187" s="8">
        <v>31</v>
      </c>
      <c r="B187" s="9" t="s">
        <v>65</v>
      </c>
      <c r="C187" s="10" t="s">
        <v>66</v>
      </c>
      <c r="D187" s="10" t="s">
        <v>67</v>
      </c>
      <c r="E187" s="10" t="s">
        <v>120</v>
      </c>
      <c r="F187" s="10" t="s">
        <v>69</v>
      </c>
      <c r="G187" s="10" t="s">
        <v>70</v>
      </c>
      <c r="H187" s="11">
        <v>1</v>
      </c>
      <c r="I187" s="11">
        <v>1</v>
      </c>
      <c r="J187" s="10" t="s">
        <v>608</v>
      </c>
      <c r="K187" s="12" t="s">
        <v>609</v>
      </c>
      <c r="L187" s="17" t="s">
        <v>610</v>
      </c>
      <c r="M187" s="14">
        <v>3</v>
      </c>
      <c r="N187" s="14">
        <v>0</v>
      </c>
      <c r="O187" s="14">
        <v>5</v>
      </c>
      <c r="P187" s="14">
        <v>25</v>
      </c>
      <c r="Q187" s="14">
        <v>70</v>
      </c>
      <c r="R187" s="23" t="s">
        <v>332</v>
      </c>
      <c r="S187" s="14" t="str">
        <f t="shared" si="6"/>
        <v/>
      </c>
      <c r="T187" s="14" t="str">
        <f t="shared" si="7"/>
        <v/>
      </c>
      <c r="U187" s="14" t="str">
        <f t="shared" si="8"/>
        <v>wrongKnowledge</v>
      </c>
    </row>
    <row r="188" spans="1:21" ht="104.1" customHeight="1">
      <c r="A188" s="8">
        <v>32</v>
      </c>
      <c r="B188" s="9" t="s">
        <v>17</v>
      </c>
      <c r="C188" s="10" t="s">
        <v>18</v>
      </c>
      <c r="D188" s="10" t="s">
        <v>19</v>
      </c>
      <c r="E188" s="10" t="s">
        <v>242</v>
      </c>
      <c r="F188" s="10" t="s">
        <v>21</v>
      </c>
      <c r="G188" s="10" t="s">
        <v>22</v>
      </c>
      <c r="H188" s="11">
        <v>3</v>
      </c>
      <c r="I188" s="11">
        <v>2</v>
      </c>
      <c r="J188" s="10" t="s">
        <v>611</v>
      </c>
      <c r="K188" s="12" t="s">
        <v>612</v>
      </c>
      <c r="L188" s="17" t="s">
        <v>613</v>
      </c>
      <c r="M188" s="14">
        <v>3</v>
      </c>
      <c r="N188" s="14">
        <v>0</v>
      </c>
      <c r="O188" s="14">
        <v>0</v>
      </c>
      <c r="P188" s="14">
        <v>100</v>
      </c>
      <c r="Q188" s="14">
        <v>0</v>
      </c>
      <c r="R188" s="23" t="s">
        <v>36</v>
      </c>
      <c r="S188" s="14" t="str">
        <f t="shared" si="6"/>
        <v/>
      </c>
      <c r="T188" s="14" t="str">
        <f t="shared" si="7"/>
        <v/>
      </c>
      <c r="U188" s="14" t="str">
        <f t="shared" si="8"/>
        <v/>
      </c>
    </row>
    <row r="189" spans="1:21" ht="80.099999999999994" customHeight="1">
      <c r="A189" s="8">
        <v>32</v>
      </c>
      <c r="B189" s="9" t="s">
        <v>27</v>
      </c>
      <c r="C189" s="10" t="s">
        <v>28</v>
      </c>
      <c r="D189" s="10" t="s">
        <v>29</v>
      </c>
      <c r="E189" s="10" t="s">
        <v>192</v>
      </c>
      <c r="F189" s="10" t="s">
        <v>31</v>
      </c>
      <c r="G189" s="10" t="s">
        <v>32</v>
      </c>
      <c r="H189" s="11">
        <v>3</v>
      </c>
      <c r="I189" s="11">
        <v>3</v>
      </c>
      <c r="J189" s="10" t="s">
        <v>173</v>
      </c>
      <c r="K189" s="12" t="s">
        <v>614</v>
      </c>
      <c r="L189" s="17" t="s">
        <v>615</v>
      </c>
      <c r="M189" s="14">
        <v>3</v>
      </c>
      <c r="N189" s="14">
        <v>0</v>
      </c>
      <c r="O189" s="14">
        <v>0</v>
      </c>
      <c r="P189" s="14">
        <v>0</v>
      </c>
      <c r="Q189" s="14">
        <v>100</v>
      </c>
      <c r="R189" s="23" t="s">
        <v>36</v>
      </c>
      <c r="S189" s="14" t="str">
        <f t="shared" si="6"/>
        <v/>
      </c>
      <c r="T189" s="14" t="str">
        <f t="shared" si="7"/>
        <v/>
      </c>
      <c r="U189" s="14" t="str">
        <f t="shared" si="8"/>
        <v/>
      </c>
    </row>
    <row r="190" spans="1:21" ht="104.1" customHeight="1">
      <c r="A190" s="8">
        <v>32</v>
      </c>
      <c r="B190" s="9" t="s">
        <v>37</v>
      </c>
      <c r="C190" s="10" t="s">
        <v>38</v>
      </c>
      <c r="D190" s="10" t="s">
        <v>39</v>
      </c>
      <c r="E190" s="10" t="s">
        <v>152</v>
      </c>
      <c r="F190" s="10" t="s">
        <v>41</v>
      </c>
      <c r="G190" s="10" t="s">
        <v>42</v>
      </c>
      <c r="H190" s="11">
        <v>2</v>
      </c>
      <c r="I190" s="11">
        <v>2</v>
      </c>
      <c r="J190" s="10" t="s">
        <v>616</v>
      </c>
      <c r="K190" s="12" t="s">
        <v>617</v>
      </c>
      <c r="L190" s="17" t="s">
        <v>618</v>
      </c>
      <c r="M190" s="14">
        <v>3</v>
      </c>
      <c r="N190" s="14">
        <v>0</v>
      </c>
      <c r="O190" s="14">
        <v>0</v>
      </c>
      <c r="P190" s="14">
        <v>10</v>
      </c>
      <c r="Q190" s="14">
        <v>90</v>
      </c>
      <c r="R190" s="23" t="s">
        <v>26</v>
      </c>
      <c r="S190" s="14" t="str">
        <f t="shared" si="6"/>
        <v/>
      </c>
      <c r="T190" s="14" t="str">
        <f t="shared" si="7"/>
        <v/>
      </c>
      <c r="U190" s="14" t="str">
        <f t="shared" si="8"/>
        <v/>
      </c>
    </row>
    <row r="191" spans="1:21" ht="92.1" customHeight="1">
      <c r="A191" s="8">
        <v>32</v>
      </c>
      <c r="B191" s="9" t="s">
        <v>46</v>
      </c>
      <c r="C191" s="10" t="s">
        <v>47</v>
      </c>
      <c r="D191" s="10" t="s">
        <v>48</v>
      </c>
      <c r="E191" s="10" t="s">
        <v>86</v>
      </c>
      <c r="F191" s="10" t="s">
        <v>50</v>
      </c>
      <c r="G191" s="10" t="s">
        <v>51</v>
      </c>
      <c r="H191" s="11">
        <v>2</v>
      </c>
      <c r="I191" s="11">
        <v>1</v>
      </c>
      <c r="J191" s="10" t="s">
        <v>619</v>
      </c>
      <c r="K191" s="12" t="s">
        <v>620</v>
      </c>
      <c r="L191" s="17" t="s">
        <v>621</v>
      </c>
      <c r="M191" s="14">
        <v>3</v>
      </c>
      <c r="N191" s="14">
        <v>0</v>
      </c>
      <c r="O191" s="14">
        <v>10</v>
      </c>
      <c r="P191" s="14" t="s">
        <v>293</v>
      </c>
      <c r="Q191" s="14" t="s">
        <v>169</v>
      </c>
      <c r="R191" s="23" t="s">
        <v>622</v>
      </c>
      <c r="S191" s="14" t="str">
        <f t="shared" si="6"/>
        <v>drop_incomplete</v>
      </c>
      <c r="T191" s="14" t="str">
        <f t="shared" si="7"/>
        <v/>
      </c>
      <c r="U191" s="14" t="str">
        <f t="shared" si="8"/>
        <v>wrongKnowledge</v>
      </c>
    </row>
    <row r="192" spans="1:21" ht="68.099999999999994" customHeight="1">
      <c r="A192" s="8">
        <v>32</v>
      </c>
      <c r="B192" s="9" t="s">
        <v>55</v>
      </c>
      <c r="C192" s="10" t="s">
        <v>56</v>
      </c>
      <c r="D192" s="10" t="s">
        <v>57</v>
      </c>
      <c r="E192" s="10" t="s">
        <v>90</v>
      </c>
      <c r="F192" s="10" t="s">
        <v>59</v>
      </c>
      <c r="G192" s="10" t="s">
        <v>60</v>
      </c>
      <c r="H192" s="11">
        <v>1</v>
      </c>
      <c r="I192" s="11">
        <v>1</v>
      </c>
      <c r="J192" s="10" t="s">
        <v>623</v>
      </c>
      <c r="K192" s="12" t="s">
        <v>624</v>
      </c>
      <c r="L192" s="17" t="s">
        <v>625</v>
      </c>
      <c r="M192" s="14" t="s">
        <v>94</v>
      </c>
      <c r="N192" s="14">
        <v>0</v>
      </c>
      <c r="O192" s="14">
        <v>5</v>
      </c>
      <c r="P192" s="14" t="s">
        <v>626</v>
      </c>
      <c r="Q192" s="14" t="s">
        <v>306</v>
      </c>
      <c r="R192" s="23" t="s">
        <v>26</v>
      </c>
      <c r="S192" s="14" t="str">
        <f t="shared" si="6"/>
        <v>drop_incomplete</v>
      </c>
      <c r="T192" s="14" t="str">
        <f t="shared" si="7"/>
        <v>drop_wrongPrior</v>
      </c>
      <c r="U192" s="14" t="str">
        <f t="shared" si="8"/>
        <v/>
      </c>
    </row>
    <row r="193" spans="1:21" ht="104.1" customHeight="1">
      <c r="A193" s="8">
        <v>32</v>
      </c>
      <c r="B193" s="9" t="s">
        <v>65</v>
      </c>
      <c r="C193" s="10" t="s">
        <v>66</v>
      </c>
      <c r="D193" s="10" t="s">
        <v>67</v>
      </c>
      <c r="E193" s="10" t="s">
        <v>446</v>
      </c>
      <c r="F193" s="10" t="s">
        <v>69</v>
      </c>
      <c r="G193" s="10" t="s">
        <v>70</v>
      </c>
      <c r="H193" s="11">
        <v>3</v>
      </c>
      <c r="I193" s="11">
        <v>1</v>
      </c>
      <c r="J193" s="10" t="s">
        <v>186</v>
      </c>
      <c r="K193" s="12" t="s">
        <v>627</v>
      </c>
      <c r="L193" s="17" t="s">
        <v>628</v>
      </c>
      <c r="M193" s="14">
        <v>3</v>
      </c>
      <c r="N193" s="14">
        <v>0</v>
      </c>
      <c r="O193" s="14">
        <v>100</v>
      </c>
      <c r="P193" s="14">
        <v>0</v>
      </c>
      <c r="Q193" s="14">
        <v>0</v>
      </c>
      <c r="R193" s="23" t="s">
        <v>36</v>
      </c>
      <c r="S193" s="14" t="str">
        <f t="shared" si="6"/>
        <v/>
      </c>
      <c r="T193" s="14" t="str">
        <f t="shared" si="7"/>
        <v/>
      </c>
      <c r="U193" s="14" t="str">
        <f t="shared" si="8"/>
        <v/>
      </c>
    </row>
    <row r="194" spans="1:21" ht="80.099999999999994" customHeight="1">
      <c r="A194" s="8">
        <v>33</v>
      </c>
      <c r="B194" s="9" t="s">
        <v>17</v>
      </c>
      <c r="C194" s="10" t="s">
        <v>18</v>
      </c>
      <c r="D194" s="10" t="s">
        <v>19</v>
      </c>
      <c r="E194" s="10" t="s">
        <v>242</v>
      </c>
      <c r="F194" s="10" t="s">
        <v>21</v>
      </c>
      <c r="G194" s="10" t="s">
        <v>22</v>
      </c>
      <c r="H194" s="11">
        <v>3</v>
      </c>
      <c r="I194" s="11">
        <v>2</v>
      </c>
      <c r="J194" s="10" t="s">
        <v>629</v>
      </c>
      <c r="K194" s="12" t="s">
        <v>630</v>
      </c>
      <c r="L194" s="17" t="s">
        <v>631</v>
      </c>
      <c r="M194" s="14">
        <v>3</v>
      </c>
      <c r="N194" s="14">
        <v>0</v>
      </c>
      <c r="O194" s="14">
        <v>0</v>
      </c>
      <c r="P194" s="14">
        <v>100</v>
      </c>
      <c r="Q194" s="14">
        <v>0</v>
      </c>
      <c r="R194" s="23" t="s">
        <v>36</v>
      </c>
      <c r="S194" s="14" t="str">
        <f t="shared" si="6"/>
        <v/>
      </c>
      <c r="T194" s="14" t="str">
        <f t="shared" si="7"/>
        <v/>
      </c>
      <c r="U194" s="14" t="str">
        <f t="shared" si="8"/>
        <v/>
      </c>
    </row>
    <row r="195" spans="1:21" ht="104.1" customHeight="1">
      <c r="A195" s="8">
        <v>33</v>
      </c>
      <c r="B195" s="9" t="s">
        <v>27</v>
      </c>
      <c r="C195" s="10" t="s">
        <v>28</v>
      </c>
      <c r="D195" s="10" t="s">
        <v>29</v>
      </c>
      <c r="E195" s="10" t="s">
        <v>104</v>
      </c>
      <c r="F195" s="10" t="s">
        <v>31</v>
      </c>
      <c r="G195" s="10" t="s">
        <v>32</v>
      </c>
      <c r="H195" s="11">
        <v>2</v>
      </c>
      <c r="I195" s="11">
        <v>2</v>
      </c>
      <c r="J195" s="10" t="s">
        <v>318</v>
      </c>
      <c r="K195" s="12" t="s">
        <v>632</v>
      </c>
      <c r="L195" s="17" t="s">
        <v>633</v>
      </c>
      <c r="M195" s="14">
        <v>3</v>
      </c>
      <c r="N195" s="14">
        <v>0</v>
      </c>
      <c r="O195" s="14">
        <v>0</v>
      </c>
      <c r="P195" s="14">
        <v>10</v>
      </c>
      <c r="Q195" s="14">
        <v>90</v>
      </c>
      <c r="R195" s="23" t="s">
        <v>26</v>
      </c>
      <c r="S195" s="14" t="str">
        <f t="shared" ref="S195:S258" si="9">IF(AND(ISNUMBER(N195), ISNUMBER(O195), ISNUMBER(P195), ISNUMBER(Q195)), "", "drop_incomplete")</f>
        <v/>
      </c>
      <c r="T195" s="14" t="str">
        <f t="shared" ref="T195:T258" si="10">IF(M195 &lt;&gt; 3, "drop_wrongPrior", "")</f>
        <v/>
      </c>
      <c r="U195" s="14" t="str">
        <f t="shared" ref="U195:U258" si="11">IF(AND(H195 = 3, R195 &lt;&gt; "Y"), "wrongKnowledge",
    IF(OR(R195 = "uncertain", R195 = "uncertain N"), "wrongKnowledge",
       IF(AND(H195 &lt;&gt; 3, R195 = "Y"), "wrongKnowledge", "")))</f>
        <v/>
      </c>
    </row>
    <row r="196" spans="1:21" ht="80.099999999999994" customHeight="1">
      <c r="A196" s="8">
        <v>33</v>
      </c>
      <c r="B196" s="9" t="s">
        <v>37</v>
      </c>
      <c r="C196" s="10" t="s">
        <v>38</v>
      </c>
      <c r="D196" s="10" t="s">
        <v>39</v>
      </c>
      <c r="E196" s="10" t="s">
        <v>82</v>
      </c>
      <c r="F196" s="10" t="s">
        <v>41</v>
      </c>
      <c r="G196" s="10" t="s">
        <v>42</v>
      </c>
      <c r="H196" s="11">
        <v>3</v>
      </c>
      <c r="I196" s="11">
        <v>1</v>
      </c>
      <c r="J196" s="10" t="s">
        <v>634</v>
      </c>
      <c r="K196" s="12" t="s">
        <v>635</v>
      </c>
      <c r="L196" s="17" t="s">
        <v>636</v>
      </c>
      <c r="M196" s="14">
        <v>3</v>
      </c>
      <c r="N196" s="14">
        <v>0</v>
      </c>
      <c r="O196" s="14">
        <v>100</v>
      </c>
      <c r="P196" s="14">
        <v>0</v>
      </c>
      <c r="Q196" s="14">
        <v>0</v>
      </c>
      <c r="R196" s="23" t="s">
        <v>36</v>
      </c>
      <c r="S196" s="14" t="str">
        <f t="shared" si="9"/>
        <v/>
      </c>
      <c r="T196" s="14" t="str">
        <f t="shared" si="10"/>
        <v/>
      </c>
      <c r="U196" s="14" t="str">
        <f t="shared" si="11"/>
        <v/>
      </c>
    </row>
    <row r="197" spans="1:21" ht="80.099999999999994" customHeight="1">
      <c r="A197" s="8">
        <v>33</v>
      </c>
      <c r="B197" s="9" t="s">
        <v>46</v>
      </c>
      <c r="C197" s="10" t="s">
        <v>47</v>
      </c>
      <c r="D197" s="10" t="s">
        <v>48</v>
      </c>
      <c r="E197" s="10" t="s">
        <v>86</v>
      </c>
      <c r="F197" s="10" t="s">
        <v>50</v>
      </c>
      <c r="G197" s="10" t="s">
        <v>51</v>
      </c>
      <c r="H197" s="11">
        <v>2</v>
      </c>
      <c r="I197" s="11">
        <v>1</v>
      </c>
      <c r="J197" s="10" t="s">
        <v>637</v>
      </c>
      <c r="K197" s="12" t="s">
        <v>638</v>
      </c>
      <c r="L197" s="17" t="s">
        <v>639</v>
      </c>
      <c r="M197" s="14">
        <v>3</v>
      </c>
      <c r="N197" s="14">
        <v>0</v>
      </c>
      <c r="O197" s="14" t="s">
        <v>640</v>
      </c>
      <c r="P197" s="14" t="s">
        <v>64</v>
      </c>
      <c r="Q197" s="14" t="s">
        <v>64</v>
      </c>
      <c r="R197" s="23" t="s">
        <v>26</v>
      </c>
      <c r="S197" s="14" t="str">
        <f t="shared" si="9"/>
        <v>drop_incomplete</v>
      </c>
      <c r="T197" s="14" t="str">
        <f t="shared" si="10"/>
        <v/>
      </c>
      <c r="U197" s="14" t="str">
        <f t="shared" si="11"/>
        <v/>
      </c>
    </row>
    <row r="198" spans="1:21" ht="80.099999999999994" customHeight="1">
      <c r="A198" s="8">
        <v>33</v>
      </c>
      <c r="B198" s="9" t="s">
        <v>55</v>
      </c>
      <c r="C198" s="10" t="s">
        <v>56</v>
      </c>
      <c r="D198" s="10" t="s">
        <v>57</v>
      </c>
      <c r="E198" s="10" t="s">
        <v>139</v>
      </c>
      <c r="F198" s="10" t="s">
        <v>59</v>
      </c>
      <c r="G198" s="10" t="s">
        <v>60</v>
      </c>
      <c r="H198" s="11">
        <v>3</v>
      </c>
      <c r="I198" s="11">
        <v>3</v>
      </c>
      <c r="J198" s="10" t="s">
        <v>641</v>
      </c>
      <c r="K198" s="12" t="s">
        <v>642</v>
      </c>
      <c r="L198" s="17" t="s">
        <v>643</v>
      </c>
      <c r="M198" s="14">
        <v>3</v>
      </c>
      <c r="N198" s="14">
        <v>0</v>
      </c>
      <c r="O198" s="14">
        <v>0</v>
      </c>
      <c r="P198" s="14">
        <v>0</v>
      </c>
      <c r="Q198" s="14">
        <v>100</v>
      </c>
      <c r="R198" s="23" t="s">
        <v>36</v>
      </c>
      <c r="S198" s="14" t="str">
        <f t="shared" si="9"/>
        <v/>
      </c>
      <c r="T198" s="14" t="str">
        <f t="shared" si="10"/>
        <v/>
      </c>
      <c r="U198" s="14" t="str">
        <f t="shared" si="11"/>
        <v/>
      </c>
    </row>
    <row r="199" spans="1:21" ht="140.1" customHeight="1">
      <c r="A199" s="8">
        <v>33</v>
      </c>
      <c r="B199" s="9" t="s">
        <v>65</v>
      </c>
      <c r="C199" s="10" t="s">
        <v>66</v>
      </c>
      <c r="D199" s="10" t="s">
        <v>67</v>
      </c>
      <c r="E199" s="10" t="s">
        <v>120</v>
      </c>
      <c r="F199" s="10" t="s">
        <v>69</v>
      </c>
      <c r="G199" s="10" t="s">
        <v>70</v>
      </c>
      <c r="H199" s="11">
        <v>1</v>
      </c>
      <c r="I199" s="11">
        <v>1</v>
      </c>
      <c r="J199" s="10" t="s">
        <v>644</v>
      </c>
      <c r="K199" s="12" t="s">
        <v>645</v>
      </c>
      <c r="L199" s="17" t="s">
        <v>646</v>
      </c>
      <c r="M199" s="14">
        <v>3</v>
      </c>
      <c r="N199" s="14">
        <v>0</v>
      </c>
      <c r="O199" s="14">
        <v>20</v>
      </c>
      <c r="P199" s="14">
        <v>40</v>
      </c>
      <c r="Q199" s="14" t="s">
        <v>498</v>
      </c>
      <c r="R199" s="23" t="s">
        <v>26</v>
      </c>
      <c r="S199" s="14" t="str">
        <f t="shared" si="9"/>
        <v>drop_incomplete</v>
      </c>
      <c r="T199" s="14" t="str">
        <f t="shared" si="10"/>
        <v/>
      </c>
      <c r="U199" s="14" t="str">
        <f t="shared" si="11"/>
        <v/>
      </c>
    </row>
    <row r="200" spans="1:21" ht="104.1" customHeight="1">
      <c r="A200" s="8">
        <v>34</v>
      </c>
      <c r="B200" s="9" t="s">
        <v>17</v>
      </c>
      <c r="C200" s="10" t="s">
        <v>18</v>
      </c>
      <c r="D200" s="10" t="s">
        <v>19</v>
      </c>
      <c r="E200" s="10" t="s">
        <v>74</v>
      </c>
      <c r="F200" s="10" t="s">
        <v>21</v>
      </c>
      <c r="G200" s="10" t="s">
        <v>22</v>
      </c>
      <c r="H200" s="11">
        <v>3</v>
      </c>
      <c r="I200" s="11">
        <v>3</v>
      </c>
      <c r="J200" s="10" t="s">
        <v>647</v>
      </c>
      <c r="K200" s="12" t="s">
        <v>648</v>
      </c>
      <c r="L200" s="17" t="s">
        <v>649</v>
      </c>
      <c r="M200" s="14">
        <v>3</v>
      </c>
      <c r="N200" s="14">
        <v>0</v>
      </c>
      <c r="O200" s="14">
        <v>0</v>
      </c>
      <c r="P200" s="14">
        <v>0</v>
      </c>
      <c r="Q200" s="14">
        <v>100</v>
      </c>
      <c r="R200" s="23" t="s">
        <v>36</v>
      </c>
      <c r="S200" s="14" t="str">
        <f t="shared" si="9"/>
        <v/>
      </c>
      <c r="T200" s="14" t="str">
        <f t="shared" si="10"/>
        <v/>
      </c>
      <c r="U200" s="14" t="str">
        <f t="shared" si="11"/>
        <v/>
      </c>
    </row>
    <row r="201" spans="1:21" ht="80.099999999999994" customHeight="1">
      <c r="A201" s="8">
        <v>34</v>
      </c>
      <c r="B201" s="9" t="s">
        <v>27</v>
      </c>
      <c r="C201" s="10" t="s">
        <v>28</v>
      </c>
      <c r="D201" s="10" t="s">
        <v>29</v>
      </c>
      <c r="E201" s="10" t="s">
        <v>104</v>
      </c>
      <c r="F201" s="10" t="s">
        <v>31</v>
      </c>
      <c r="G201" s="10" t="s">
        <v>32</v>
      </c>
      <c r="H201" s="11">
        <v>2</v>
      </c>
      <c r="I201" s="11">
        <v>2</v>
      </c>
      <c r="J201" s="10" t="s">
        <v>650</v>
      </c>
      <c r="K201" s="12" t="s">
        <v>651</v>
      </c>
      <c r="L201" s="17" t="s">
        <v>652</v>
      </c>
      <c r="M201" s="14">
        <v>3</v>
      </c>
      <c r="N201" s="14">
        <v>0</v>
      </c>
      <c r="O201" s="14">
        <v>0</v>
      </c>
      <c r="P201" s="14">
        <v>20</v>
      </c>
      <c r="Q201" s="14">
        <v>80</v>
      </c>
      <c r="R201" s="23" t="s">
        <v>26</v>
      </c>
      <c r="S201" s="14" t="str">
        <f t="shared" si="9"/>
        <v/>
      </c>
      <c r="T201" s="14" t="str">
        <f t="shared" si="10"/>
        <v/>
      </c>
      <c r="U201" s="14" t="str">
        <f t="shared" si="11"/>
        <v/>
      </c>
    </row>
    <row r="202" spans="1:21" ht="80.099999999999994" customHeight="1">
      <c r="A202" s="8">
        <v>34</v>
      </c>
      <c r="B202" s="9" t="s">
        <v>37</v>
      </c>
      <c r="C202" s="10" t="s">
        <v>38</v>
      </c>
      <c r="D202" s="10" t="s">
        <v>39</v>
      </c>
      <c r="E202" s="10" t="s">
        <v>176</v>
      </c>
      <c r="F202" s="10" t="s">
        <v>41</v>
      </c>
      <c r="G202" s="10" t="s">
        <v>42</v>
      </c>
      <c r="H202" s="11">
        <v>2</v>
      </c>
      <c r="I202" s="11">
        <v>1</v>
      </c>
      <c r="J202" s="10" t="s">
        <v>653</v>
      </c>
      <c r="K202" s="12" t="s">
        <v>654</v>
      </c>
      <c r="L202" s="17" t="s">
        <v>655</v>
      </c>
      <c r="M202" s="14">
        <v>3</v>
      </c>
      <c r="N202" s="14">
        <v>0</v>
      </c>
      <c r="O202" s="14">
        <v>0</v>
      </c>
      <c r="P202" s="14">
        <v>30</v>
      </c>
      <c r="Q202" s="14">
        <v>70</v>
      </c>
      <c r="R202" s="23" t="s">
        <v>26</v>
      </c>
      <c r="S202" s="14" t="str">
        <f t="shared" si="9"/>
        <v/>
      </c>
      <c r="T202" s="14" t="str">
        <f t="shared" si="10"/>
        <v/>
      </c>
      <c r="U202" s="14" t="str">
        <f t="shared" si="11"/>
        <v/>
      </c>
    </row>
    <row r="203" spans="1:21" ht="104.1" customHeight="1">
      <c r="A203" s="8">
        <v>34</v>
      </c>
      <c r="B203" s="9" t="s">
        <v>46</v>
      </c>
      <c r="C203" s="10" t="s">
        <v>47</v>
      </c>
      <c r="D203" s="10" t="s">
        <v>48</v>
      </c>
      <c r="E203" s="10" t="s">
        <v>156</v>
      </c>
      <c r="F203" s="10" t="s">
        <v>50</v>
      </c>
      <c r="G203" s="10" t="s">
        <v>51</v>
      </c>
      <c r="H203" s="11">
        <v>3</v>
      </c>
      <c r="I203" s="11">
        <v>2</v>
      </c>
      <c r="J203" s="10" t="s">
        <v>656</v>
      </c>
      <c r="K203" s="12" t="s">
        <v>657</v>
      </c>
      <c r="L203" s="17" t="s">
        <v>658</v>
      </c>
      <c r="M203" s="14">
        <v>3</v>
      </c>
      <c r="N203" s="14">
        <v>0</v>
      </c>
      <c r="O203" s="14">
        <v>0</v>
      </c>
      <c r="P203" s="14">
        <v>100</v>
      </c>
      <c r="Q203" s="14">
        <v>0</v>
      </c>
      <c r="R203" s="23" t="s">
        <v>36</v>
      </c>
      <c r="S203" s="14" t="str">
        <f t="shared" si="9"/>
        <v/>
      </c>
      <c r="T203" s="14" t="str">
        <f t="shared" si="10"/>
        <v/>
      </c>
      <c r="U203" s="14" t="str">
        <f t="shared" si="11"/>
        <v/>
      </c>
    </row>
    <row r="204" spans="1:21" ht="92.1" customHeight="1">
      <c r="A204" s="8">
        <v>34</v>
      </c>
      <c r="B204" s="9" t="s">
        <v>55</v>
      </c>
      <c r="C204" s="10" t="s">
        <v>56</v>
      </c>
      <c r="D204" s="10" t="s">
        <v>57</v>
      </c>
      <c r="E204" s="10" t="s">
        <v>90</v>
      </c>
      <c r="F204" s="10" t="s">
        <v>59</v>
      </c>
      <c r="G204" s="10" t="s">
        <v>60</v>
      </c>
      <c r="H204" s="11">
        <v>1</v>
      </c>
      <c r="I204" s="11">
        <v>1</v>
      </c>
      <c r="J204" s="10" t="s">
        <v>659</v>
      </c>
      <c r="K204" s="12" t="s">
        <v>660</v>
      </c>
      <c r="L204" s="17" t="s">
        <v>661</v>
      </c>
      <c r="M204" s="14">
        <v>3</v>
      </c>
      <c r="N204" s="14">
        <v>0</v>
      </c>
      <c r="O204" s="14">
        <v>0</v>
      </c>
      <c r="P204" s="14" t="s">
        <v>509</v>
      </c>
      <c r="Q204" s="14" t="s">
        <v>306</v>
      </c>
      <c r="R204" s="23" t="s">
        <v>26</v>
      </c>
      <c r="S204" s="14" t="str">
        <f t="shared" si="9"/>
        <v>drop_incomplete</v>
      </c>
      <c r="T204" s="14" t="str">
        <f t="shared" si="10"/>
        <v/>
      </c>
      <c r="U204" s="14" t="str">
        <f t="shared" si="11"/>
        <v/>
      </c>
    </row>
    <row r="205" spans="1:21" ht="104.1" customHeight="1">
      <c r="A205" s="8">
        <v>34</v>
      </c>
      <c r="B205" s="9" t="s">
        <v>65</v>
      </c>
      <c r="C205" s="10" t="s">
        <v>66</v>
      </c>
      <c r="D205" s="10" t="s">
        <v>67</v>
      </c>
      <c r="E205" s="10" t="s">
        <v>446</v>
      </c>
      <c r="F205" s="10" t="s">
        <v>69</v>
      </c>
      <c r="G205" s="10" t="s">
        <v>70</v>
      </c>
      <c r="H205" s="11">
        <v>3</v>
      </c>
      <c r="I205" s="11">
        <v>1</v>
      </c>
      <c r="J205" s="10" t="s">
        <v>662</v>
      </c>
      <c r="K205" s="12" t="s">
        <v>663</v>
      </c>
      <c r="L205" s="17" t="s">
        <v>664</v>
      </c>
      <c r="M205" s="14">
        <v>3</v>
      </c>
      <c r="N205" s="14">
        <v>0</v>
      </c>
      <c r="O205" s="14">
        <v>100</v>
      </c>
      <c r="P205" s="14">
        <v>0</v>
      </c>
      <c r="Q205" s="14">
        <v>0</v>
      </c>
      <c r="R205" s="23" t="s">
        <v>36</v>
      </c>
      <c r="S205" s="14" t="str">
        <f t="shared" si="9"/>
        <v/>
      </c>
      <c r="T205" s="14" t="str">
        <f t="shared" si="10"/>
        <v/>
      </c>
      <c r="U205" s="14" t="str">
        <f t="shared" si="11"/>
        <v/>
      </c>
    </row>
    <row r="206" spans="1:21" ht="116.1" customHeight="1">
      <c r="A206" s="8">
        <v>35</v>
      </c>
      <c r="B206" s="9" t="s">
        <v>17</v>
      </c>
      <c r="C206" s="10" t="s">
        <v>18</v>
      </c>
      <c r="D206" s="10" t="s">
        <v>19</v>
      </c>
      <c r="E206" s="10" t="s">
        <v>20</v>
      </c>
      <c r="F206" s="10" t="s">
        <v>21</v>
      </c>
      <c r="G206" s="10" t="s">
        <v>22</v>
      </c>
      <c r="H206" s="11">
        <v>2</v>
      </c>
      <c r="I206" s="11">
        <v>2</v>
      </c>
      <c r="J206" s="10" t="s">
        <v>665</v>
      </c>
      <c r="K206" s="12" t="s">
        <v>666</v>
      </c>
      <c r="L206" s="17" t="s">
        <v>667</v>
      </c>
      <c r="M206" s="14">
        <v>3</v>
      </c>
      <c r="N206" s="14">
        <v>0</v>
      </c>
      <c r="O206" s="14">
        <v>0</v>
      </c>
      <c r="P206" s="14">
        <v>50</v>
      </c>
      <c r="Q206" s="14">
        <v>50</v>
      </c>
      <c r="R206" s="23" t="s">
        <v>26</v>
      </c>
      <c r="S206" s="14" t="str">
        <f t="shared" si="9"/>
        <v/>
      </c>
      <c r="T206" s="14" t="str">
        <f t="shared" si="10"/>
        <v/>
      </c>
      <c r="U206" s="14" t="str">
        <f t="shared" si="11"/>
        <v/>
      </c>
    </row>
    <row r="207" spans="1:21" ht="68.099999999999994" customHeight="1">
      <c r="A207" s="8">
        <v>35</v>
      </c>
      <c r="B207" s="9" t="s">
        <v>27</v>
      </c>
      <c r="C207" s="10" t="s">
        <v>28</v>
      </c>
      <c r="D207" s="10" t="s">
        <v>29</v>
      </c>
      <c r="E207" s="10" t="s">
        <v>148</v>
      </c>
      <c r="F207" s="10" t="s">
        <v>31</v>
      </c>
      <c r="G207" s="10" t="s">
        <v>32</v>
      </c>
      <c r="H207" s="11">
        <v>1</v>
      </c>
      <c r="I207" s="11">
        <v>1</v>
      </c>
      <c r="J207" s="10" t="s">
        <v>79</v>
      </c>
      <c r="K207" s="12" t="s">
        <v>668</v>
      </c>
      <c r="L207" s="17" t="s">
        <v>669</v>
      </c>
      <c r="M207" s="14">
        <v>3</v>
      </c>
      <c r="N207" s="14">
        <v>0</v>
      </c>
      <c r="O207" s="14">
        <v>5</v>
      </c>
      <c r="P207" s="14" t="s">
        <v>509</v>
      </c>
      <c r="Q207" s="14" t="s">
        <v>670</v>
      </c>
      <c r="R207" s="23" t="s">
        <v>26</v>
      </c>
      <c r="S207" s="14" t="str">
        <f t="shared" si="9"/>
        <v>drop_incomplete</v>
      </c>
      <c r="T207" s="14" t="str">
        <f t="shared" si="10"/>
        <v/>
      </c>
      <c r="U207" s="14" t="str">
        <f t="shared" si="11"/>
        <v/>
      </c>
    </row>
    <row r="208" spans="1:21" ht="20.100000000000001" customHeight="1">
      <c r="A208" s="8">
        <v>35</v>
      </c>
      <c r="B208" s="9" t="s">
        <v>37</v>
      </c>
      <c r="C208" s="10" t="s">
        <v>38</v>
      </c>
      <c r="D208" s="10" t="s">
        <v>39</v>
      </c>
      <c r="E208" s="10" t="s">
        <v>40</v>
      </c>
      <c r="F208" s="10" t="s">
        <v>41</v>
      </c>
      <c r="G208" s="10" t="s">
        <v>42</v>
      </c>
      <c r="H208" s="11">
        <v>3</v>
      </c>
      <c r="I208" s="11">
        <v>2</v>
      </c>
      <c r="J208" s="10" t="s">
        <v>671</v>
      </c>
      <c r="K208" s="10" t="s">
        <v>672</v>
      </c>
      <c r="L208" s="17" t="s">
        <v>673</v>
      </c>
      <c r="M208" s="14">
        <v>3</v>
      </c>
      <c r="N208" s="14">
        <v>0</v>
      </c>
      <c r="O208" s="14">
        <v>0</v>
      </c>
      <c r="P208" s="14">
        <v>100</v>
      </c>
      <c r="Q208" s="14">
        <v>0</v>
      </c>
      <c r="R208" s="23" t="s">
        <v>36</v>
      </c>
      <c r="S208" s="14" t="str">
        <f t="shared" si="9"/>
        <v/>
      </c>
      <c r="T208" s="14" t="str">
        <f t="shared" si="10"/>
        <v/>
      </c>
      <c r="U208" s="14" t="str">
        <f t="shared" si="11"/>
        <v/>
      </c>
    </row>
    <row r="209" spans="1:21" ht="104.1" customHeight="1">
      <c r="A209" s="8">
        <v>35</v>
      </c>
      <c r="B209" s="9" t="s">
        <v>46</v>
      </c>
      <c r="C209" s="10" t="s">
        <v>47</v>
      </c>
      <c r="D209" s="10" t="s">
        <v>48</v>
      </c>
      <c r="E209" s="10" t="s">
        <v>112</v>
      </c>
      <c r="F209" s="10" t="s">
        <v>50</v>
      </c>
      <c r="G209" s="10" t="s">
        <v>51</v>
      </c>
      <c r="H209" s="11">
        <v>3</v>
      </c>
      <c r="I209" s="11">
        <v>1</v>
      </c>
      <c r="J209" s="10" t="s">
        <v>674</v>
      </c>
      <c r="K209" s="12" t="s">
        <v>675</v>
      </c>
      <c r="L209" s="17" t="s">
        <v>676</v>
      </c>
      <c r="M209" s="14">
        <v>3</v>
      </c>
      <c r="N209" s="14">
        <v>0</v>
      </c>
      <c r="O209" s="14">
        <v>70</v>
      </c>
      <c r="P209" s="14">
        <v>20</v>
      </c>
      <c r="Q209" s="14" t="s">
        <v>640</v>
      </c>
      <c r="R209" s="23" t="s">
        <v>36</v>
      </c>
      <c r="S209" s="14" t="str">
        <f t="shared" si="9"/>
        <v>drop_incomplete</v>
      </c>
      <c r="T209" s="14" t="str">
        <f t="shared" si="10"/>
        <v/>
      </c>
      <c r="U209" s="14" t="str">
        <f t="shared" si="11"/>
        <v/>
      </c>
    </row>
    <row r="210" spans="1:21" ht="80.099999999999994" customHeight="1">
      <c r="A210" s="8">
        <v>35</v>
      </c>
      <c r="B210" s="9" t="s">
        <v>55</v>
      </c>
      <c r="C210" s="10" t="s">
        <v>56</v>
      </c>
      <c r="D210" s="10" t="s">
        <v>57</v>
      </c>
      <c r="E210" s="10" t="s">
        <v>58</v>
      </c>
      <c r="F210" s="10" t="s">
        <v>59</v>
      </c>
      <c r="G210" s="10" t="s">
        <v>60</v>
      </c>
      <c r="H210" s="11">
        <v>2</v>
      </c>
      <c r="I210" s="11">
        <v>1</v>
      </c>
      <c r="J210" s="10" t="s">
        <v>677</v>
      </c>
      <c r="K210" s="12" t="s">
        <v>678</v>
      </c>
      <c r="L210" s="17" t="s">
        <v>679</v>
      </c>
      <c r="M210" s="14" t="s">
        <v>64</v>
      </c>
      <c r="N210" s="14">
        <v>0</v>
      </c>
      <c r="O210" s="14">
        <v>20</v>
      </c>
      <c r="P210" s="14">
        <v>50</v>
      </c>
      <c r="Q210" s="14">
        <v>30</v>
      </c>
      <c r="R210" s="23" t="s">
        <v>26</v>
      </c>
      <c r="S210" s="14" t="str">
        <f t="shared" si="9"/>
        <v/>
      </c>
      <c r="T210" s="14" t="str">
        <f t="shared" si="10"/>
        <v>drop_wrongPrior</v>
      </c>
      <c r="U210" s="14" t="str">
        <f t="shared" si="11"/>
        <v/>
      </c>
    </row>
    <row r="211" spans="1:21" ht="80.099999999999994" customHeight="1">
      <c r="A211" s="8">
        <v>35</v>
      </c>
      <c r="B211" s="9" t="s">
        <v>65</v>
      </c>
      <c r="C211" s="10" t="s">
        <v>66</v>
      </c>
      <c r="D211" s="10" t="s">
        <v>67</v>
      </c>
      <c r="E211" s="10" t="s">
        <v>68</v>
      </c>
      <c r="F211" s="10" t="s">
        <v>69</v>
      </c>
      <c r="G211" s="10" t="s">
        <v>70</v>
      </c>
      <c r="H211" s="11">
        <v>3</v>
      </c>
      <c r="I211" s="11">
        <v>3</v>
      </c>
      <c r="J211" s="10" t="s">
        <v>680</v>
      </c>
      <c r="K211" s="12" t="s">
        <v>681</v>
      </c>
      <c r="L211" s="17" t="s">
        <v>682</v>
      </c>
      <c r="M211" s="14">
        <v>3</v>
      </c>
      <c r="N211" s="14">
        <v>0</v>
      </c>
      <c r="O211" s="14">
        <v>0</v>
      </c>
      <c r="P211" s="14">
        <v>0</v>
      </c>
      <c r="Q211" s="14">
        <v>100</v>
      </c>
      <c r="R211" s="23" t="s">
        <v>36</v>
      </c>
      <c r="S211" s="14" t="str">
        <f t="shared" si="9"/>
        <v/>
      </c>
      <c r="T211" s="14" t="str">
        <f t="shared" si="10"/>
        <v/>
      </c>
      <c r="U211" s="14" t="str">
        <f t="shared" si="11"/>
        <v/>
      </c>
    </row>
    <row r="212" spans="1:21" ht="80.099999999999994" customHeight="1">
      <c r="A212" s="8">
        <v>36</v>
      </c>
      <c r="B212" s="9" t="s">
        <v>17</v>
      </c>
      <c r="C212" s="10" t="s">
        <v>18</v>
      </c>
      <c r="D212" s="10" t="s">
        <v>19</v>
      </c>
      <c r="E212" s="10" t="s">
        <v>315</v>
      </c>
      <c r="F212" s="10" t="s">
        <v>21</v>
      </c>
      <c r="G212" s="10" t="s">
        <v>22</v>
      </c>
      <c r="H212" s="11">
        <v>1</v>
      </c>
      <c r="I212" s="11">
        <v>1</v>
      </c>
      <c r="J212" s="10" t="s">
        <v>683</v>
      </c>
      <c r="K212" s="12" t="s">
        <v>684</v>
      </c>
      <c r="L212" s="17" t="s">
        <v>685</v>
      </c>
      <c r="M212" s="14">
        <v>3</v>
      </c>
      <c r="N212" s="14">
        <v>0</v>
      </c>
      <c r="O212" s="14">
        <v>10</v>
      </c>
      <c r="P212" s="14">
        <v>30</v>
      </c>
      <c r="Q212" s="14">
        <v>60</v>
      </c>
      <c r="R212" s="23" t="s">
        <v>26</v>
      </c>
      <c r="S212" s="14" t="str">
        <f t="shared" si="9"/>
        <v/>
      </c>
      <c r="T212" s="14" t="str">
        <f t="shared" si="10"/>
        <v/>
      </c>
      <c r="U212" s="14" t="str">
        <f t="shared" si="11"/>
        <v/>
      </c>
    </row>
    <row r="213" spans="1:21" ht="104.1" customHeight="1">
      <c r="A213" s="8">
        <v>36</v>
      </c>
      <c r="B213" s="9" t="s">
        <v>27</v>
      </c>
      <c r="C213" s="10" t="s">
        <v>28</v>
      </c>
      <c r="D213" s="10" t="s">
        <v>29</v>
      </c>
      <c r="E213" s="10" t="s">
        <v>30</v>
      </c>
      <c r="F213" s="10" t="s">
        <v>31</v>
      </c>
      <c r="G213" s="10" t="s">
        <v>32</v>
      </c>
      <c r="H213" s="11">
        <v>3</v>
      </c>
      <c r="I213" s="11">
        <v>1</v>
      </c>
      <c r="J213" s="10" t="s">
        <v>686</v>
      </c>
      <c r="K213" s="12" t="s">
        <v>687</v>
      </c>
      <c r="L213" s="17" t="s">
        <v>688</v>
      </c>
      <c r="M213" s="14">
        <v>3</v>
      </c>
      <c r="N213" s="14">
        <v>0</v>
      </c>
      <c r="O213" s="14">
        <v>100</v>
      </c>
      <c r="P213" s="14">
        <v>0</v>
      </c>
      <c r="Q213" s="14">
        <v>0</v>
      </c>
      <c r="R213" s="23" t="s">
        <v>36</v>
      </c>
      <c r="S213" s="14" t="str">
        <f t="shared" si="9"/>
        <v/>
      </c>
      <c r="T213" s="14" t="str">
        <f t="shared" si="10"/>
        <v/>
      </c>
      <c r="U213" s="14" t="str">
        <f t="shared" si="11"/>
        <v/>
      </c>
    </row>
    <row r="214" spans="1:21" ht="80.099999999999994" customHeight="1">
      <c r="A214" s="8">
        <v>36</v>
      </c>
      <c r="B214" s="9" t="s">
        <v>37</v>
      </c>
      <c r="C214" s="10" t="s">
        <v>38</v>
      </c>
      <c r="D214" s="10" t="s">
        <v>39</v>
      </c>
      <c r="E214" s="10" t="s">
        <v>176</v>
      </c>
      <c r="F214" s="10" t="s">
        <v>41</v>
      </c>
      <c r="G214" s="10" t="s">
        <v>42</v>
      </c>
      <c r="H214" s="11">
        <v>2</v>
      </c>
      <c r="I214" s="11">
        <v>1</v>
      </c>
      <c r="J214" s="10" t="s">
        <v>689</v>
      </c>
      <c r="K214" s="12" t="s">
        <v>690</v>
      </c>
      <c r="L214" s="17" t="s">
        <v>691</v>
      </c>
      <c r="M214" s="14">
        <v>3</v>
      </c>
      <c r="N214" s="14">
        <v>0</v>
      </c>
      <c r="O214" s="14">
        <v>10</v>
      </c>
      <c r="P214" s="14">
        <v>40</v>
      </c>
      <c r="Q214" s="14">
        <v>50</v>
      </c>
      <c r="R214" s="23" t="s">
        <v>26</v>
      </c>
      <c r="S214" s="14" t="str">
        <f t="shared" si="9"/>
        <v/>
      </c>
      <c r="T214" s="14" t="str">
        <f t="shared" si="10"/>
        <v/>
      </c>
      <c r="U214" s="14" t="str">
        <f t="shared" si="11"/>
        <v/>
      </c>
    </row>
    <row r="215" spans="1:21" ht="80.099999999999994" customHeight="1">
      <c r="A215" s="8">
        <v>36</v>
      </c>
      <c r="B215" s="9" t="s">
        <v>46</v>
      </c>
      <c r="C215" s="10" t="s">
        <v>47</v>
      </c>
      <c r="D215" s="10" t="s">
        <v>48</v>
      </c>
      <c r="E215" s="10" t="s">
        <v>307</v>
      </c>
      <c r="F215" s="10" t="s">
        <v>50</v>
      </c>
      <c r="G215" s="10" t="s">
        <v>51</v>
      </c>
      <c r="H215" s="11">
        <v>3</v>
      </c>
      <c r="I215" s="11">
        <v>3</v>
      </c>
      <c r="J215" s="10" t="s">
        <v>692</v>
      </c>
      <c r="K215" s="12" t="s">
        <v>693</v>
      </c>
      <c r="L215" s="17" t="s">
        <v>694</v>
      </c>
      <c r="M215" s="14">
        <v>3</v>
      </c>
      <c r="N215" s="14">
        <v>0</v>
      </c>
      <c r="O215" s="14">
        <v>0</v>
      </c>
      <c r="P215" s="14">
        <v>0</v>
      </c>
      <c r="Q215" s="14">
        <v>100</v>
      </c>
      <c r="R215" s="23" t="s">
        <v>36</v>
      </c>
      <c r="S215" s="14" t="str">
        <f t="shared" si="9"/>
        <v/>
      </c>
      <c r="T215" s="14" t="str">
        <f t="shared" si="10"/>
        <v/>
      </c>
      <c r="U215" s="14" t="str">
        <f t="shared" si="11"/>
        <v/>
      </c>
    </row>
    <row r="216" spans="1:21" ht="80.099999999999994" customHeight="1">
      <c r="A216" s="8">
        <v>36</v>
      </c>
      <c r="B216" s="9" t="s">
        <v>55</v>
      </c>
      <c r="C216" s="10" t="s">
        <v>56</v>
      </c>
      <c r="D216" s="10" t="s">
        <v>57</v>
      </c>
      <c r="E216" s="10" t="s">
        <v>377</v>
      </c>
      <c r="F216" s="10" t="s">
        <v>59</v>
      </c>
      <c r="G216" s="10" t="s">
        <v>60</v>
      </c>
      <c r="H216" s="11">
        <v>2</v>
      </c>
      <c r="I216" s="11">
        <v>2</v>
      </c>
      <c r="J216" s="10" t="s">
        <v>412</v>
      </c>
      <c r="K216" s="12" t="s">
        <v>695</v>
      </c>
      <c r="L216" s="17" t="s">
        <v>696</v>
      </c>
      <c r="M216" s="14">
        <v>3</v>
      </c>
      <c r="N216" s="14">
        <v>0</v>
      </c>
      <c r="O216" s="14">
        <v>0</v>
      </c>
      <c r="P216" s="14">
        <v>20</v>
      </c>
      <c r="Q216" s="14">
        <v>80</v>
      </c>
      <c r="R216" s="23" t="s">
        <v>26</v>
      </c>
      <c r="S216" s="14" t="str">
        <f t="shared" si="9"/>
        <v/>
      </c>
      <c r="T216" s="14" t="str">
        <f t="shared" si="10"/>
        <v/>
      </c>
      <c r="U216" s="14" t="str">
        <f t="shared" si="11"/>
        <v/>
      </c>
    </row>
    <row r="217" spans="1:21" ht="104.1" customHeight="1">
      <c r="A217" s="8">
        <v>36</v>
      </c>
      <c r="B217" s="9" t="s">
        <v>65</v>
      </c>
      <c r="C217" s="10" t="s">
        <v>66</v>
      </c>
      <c r="D217" s="10" t="s">
        <v>67</v>
      </c>
      <c r="E217" s="10" t="s">
        <v>142</v>
      </c>
      <c r="F217" s="10" t="s">
        <v>69</v>
      </c>
      <c r="G217" s="10" t="s">
        <v>70</v>
      </c>
      <c r="H217" s="11">
        <v>3</v>
      </c>
      <c r="I217" s="11">
        <v>2</v>
      </c>
      <c r="J217" s="10" t="s">
        <v>697</v>
      </c>
      <c r="K217" s="12" t="s">
        <v>698</v>
      </c>
      <c r="L217" s="17" t="s">
        <v>699</v>
      </c>
      <c r="M217" s="14">
        <v>3</v>
      </c>
      <c r="N217" s="14">
        <v>0</v>
      </c>
      <c r="O217" s="14">
        <v>0</v>
      </c>
      <c r="P217" s="14">
        <v>100</v>
      </c>
      <c r="Q217" s="14">
        <v>0</v>
      </c>
      <c r="R217" s="23" t="s">
        <v>36</v>
      </c>
      <c r="S217" s="14" t="str">
        <f t="shared" si="9"/>
        <v/>
      </c>
      <c r="T217" s="14" t="str">
        <f t="shared" si="10"/>
        <v/>
      </c>
      <c r="U217" s="14" t="str">
        <f t="shared" si="11"/>
        <v/>
      </c>
    </row>
    <row r="218" spans="1:21" ht="80.099999999999994" customHeight="1">
      <c r="A218" s="8">
        <v>37</v>
      </c>
      <c r="B218" s="9" t="s">
        <v>17</v>
      </c>
      <c r="C218" s="10" t="s">
        <v>18</v>
      </c>
      <c r="D218" s="10" t="s">
        <v>19</v>
      </c>
      <c r="E218" s="10" t="s">
        <v>315</v>
      </c>
      <c r="F218" s="10" t="s">
        <v>21</v>
      </c>
      <c r="G218" s="10" t="s">
        <v>22</v>
      </c>
      <c r="H218" s="11">
        <v>1</v>
      </c>
      <c r="I218" s="11">
        <v>1</v>
      </c>
      <c r="J218" s="10" t="s">
        <v>297</v>
      </c>
      <c r="K218" s="12" t="s">
        <v>700</v>
      </c>
      <c r="L218" s="17" t="s">
        <v>701</v>
      </c>
      <c r="M218" s="14">
        <v>3</v>
      </c>
      <c r="N218" s="14">
        <v>0</v>
      </c>
      <c r="O218" s="14">
        <v>0</v>
      </c>
      <c r="P218" s="14">
        <v>20</v>
      </c>
      <c r="Q218" s="14">
        <v>80</v>
      </c>
      <c r="R218" s="23" t="s">
        <v>95</v>
      </c>
      <c r="S218" s="14" t="str">
        <f t="shared" si="9"/>
        <v/>
      </c>
      <c r="T218" s="14" t="str">
        <f t="shared" si="10"/>
        <v/>
      </c>
      <c r="U218" s="14" t="str">
        <f t="shared" si="11"/>
        <v>wrongKnowledge</v>
      </c>
    </row>
    <row r="219" spans="1:21" ht="104.1" customHeight="1">
      <c r="A219" s="8">
        <v>37</v>
      </c>
      <c r="B219" s="9" t="s">
        <v>27</v>
      </c>
      <c r="C219" s="10" t="s">
        <v>28</v>
      </c>
      <c r="D219" s="10" t="s">
        <v>29</v>
      </c>
      <c r="E219" s="10" t="s">
        <v>104</v>
      </c>
      <c r="F219" s="10" t="s">
        <v>31</v>
      </c>
      <c r="G219" s="10" t="s">
        <v>32</v>
      </c>
      <c r="H219" s="11">
        <v>2</v>
      </c>
      <c r="I219" s="11">
        <v>2</v>
      </c>
      <c r="J219" s="10" t="s">
        <v>79</v>
      </c>
      <c r="K219" s="12" t="s">
        <v>702</v>
      </c>
      <c r="L219" s="17" t="s">
        <v>703</v>
      </c>
      <c r="M219" s="14">
        <v>3</v>
      </c>
      <c r="N219" s="14">
        <v>0</v>
      </c>
      <c r="O219" s="14">
        <v>0</v>
      </c>
      <c r="P219" s="14">
        <v>20</v>
      </c>
      <c r="Q219" s="14">
        <v>80</v>
      </c>
      <c r="R219" s="23" t="s">
        <v>26</v>
      </c>
      <c r="S219" s="14" t="str">
        <f t="shared" si="9"/>
        <v/>
      </c>
      <c r="T219" s="14" t="str">
        <f t="shared" si="10"/>
        <v/>
      </c>
      <c r="U219" s="14" t="str">
        <f t="shared" si="11"/>
        <v/>
      </c>
    </row>
    <row r="220" spans="1:21" ht="68.099999999999994" customHeight="1">
      <c r="A220" s="8">
        <v>37</v>
      </c>
      <c r="B220" s="9" t="s">
        <v>37</v>
      </c>
      <c r="C220" s="10" t="s">
        <v>38</v>
      </c>
      <c r="D220" s="10" t="s">
        <v>39</v>
      </c>
      <c r="E220" s="10" t="s">
        <v>176</v>
      </c>
      <c r="F220" s="10" t="s">
        <v>41</v>
      </c>
      <c r="G220" s="10" t="s">
        <v>42</v>
      </c>
      <c r="H220" s="11">
        <v>2</v>
      </c>
      <c r="I220" s="11">
        <v>1</v>
      </c>
      <c r="J220" s="10" t="s">
        <v>704</v>
      </c>
      <c r="K220" s="12" t="s">
        <v>705</v>
      </c>
      <c r="L220" s="17" t="s">
        <v>706</v>
      </c>
      <c r="M220" s="14">
        <v>3</v>
      </c>
      <c r="N220" s="14">
        <v>0</v>
      </c>
      <c r="O220" s="14">
        <v>10</v>
      </c>
      <c r="P220" s="14" t="s">
        <v>201</v>
      </c>
      <c r="Q220" s="14" t="s">
        <v>201</v>
      </c>
      <c r="R220" s="23" t="s">
        <v>26</v>
      </c>
      <c r="S220" s="14" t="str">
        <f t="shared" si="9"/>
        <v>drop_incomplete</v>
      </c>
      <c r="T220" s="14" t="str">
        <f t="shared" si="10"/>
        <v/>
      </c>
      <c r="U220" s="14" t="str">
        <f t="shared" si="11"/>
        <v/>
      </c>
    </row>
    <row r="221" spans="1:21" ht="104.1" customHeight="1">
      <c r="A221" s="8">
        <v>37</v>
      </c>
      <c r="B221" s="9" t="s">
        <v>46</v>
      </c>
      <c r="C221" s="10" t="s">
        <v>47</v>
      </c>
      <c r="D221" s="10" t="s">
        <v>48</v>
      </c>
      <c r="E221" s="10" t="s">
        <v>156</v>
      </c>
      <c r="F221" s="10" t="s">
        <v>50</v>
      </c>
      <c r="G221" s="10" t="s">
        <v>51</v>
      </c>
      <c r="H221" s="11">
        <v>3</v>
      </c>
      <c r="I221" s="11">
        <v>2</v>
      </c>
      <c r="J221" s="10" t="s">
        <v>707</v>
      </c>
      <c r="K221" s="12" t="s">
        <v>708</v>
      </c>
      <c r="L221" s="17" t="s">
        <v>709</v>
      </c>
      <c r="M221" s="14">
        <v>3</v>
      </c>
      <c r="N221" s="14">
        <v>0</v>
      </c>
      <c r="O221" s="14">
        <v>0</v>
      </c>
      <c r="P221" s="14">
        <v>100</v>
      </c>
      <c r="Q221" s="14">
        <v>0</v>
      </c>
      <c r="R221" s="23" t="s">
        <v>36</v>
      </c>
      <c r="S221" s="14" t="str">
        <f t="shared" si="9"/>
        <v/>
      </c>
      <c r="T221" s="14" t="str">
        <f t="shared" si="10"/>
        <v/>
      </c>
      <c r="U221" s="14" t="str">
        <f t="shared" si="11"/>
        <v/>
      </c>
    </row>
    <row r="222" spans="1:21" ht="104.1" customHeight="1">
      <c r="A222" s="8">
        <v>37</v>
      </c>
      <c r="B222" s="9" t="s">
        <v>55</v>
      </c>
      <c r="C222" s="10" t="s">
        <v>56</v>
      </c>
      <c r="D222" s="10" t="s">
        <v>57</v>
      </c>
      <c r="E222" s="10" t="s">
        <v>160</v>
      </c>
      <c r="F222" s="10" t="s">
        <v>59</v>
      </c>
      <c r="G222" s="10" t="s">
        <v>60</v>
      </c>
      <c r="H222" s="11">
        <v>3</v>
      </c>
      <c r="I222" s="11">
        <v>1</v>
      </c>
      <c r="J222" s="10" t="s">
        <v>710</v>
      </c>
      <c r="K222" s="12" t="s">
        <v>711</v>
      </c>
      <c r="L222" s="17" t="s">
        <v>712</v>
      </c>
      <c r="M222" s="14" t="s">
        <v>94</v>
      </c>
      <c r="N222" s="14">
        <v>0</v>
      </c>
      <c r="O222" s="14">
        <v>90</v>
      </c>
      <c r="P222" s="14">
        <v>10</v>
      </c>
      <c r="Q222" s="14">
        <v>0</v>
      </c>
      <c r="R222" s="23" t="s">
        <v>36</v>
      </c>
      <c r="S222" s="14" t="str">
        <f t="shared" si="9"/>
        <v/>
      </c>
      <c r="T222" s="14" t="str">
        <f t="shared" si="10"/>
        <v>drop_wrongPrior</v>
      </c>
      <c r="U222" s="14" t="str">
        <f t="shared" si="11"/>
        <v/>
      </c>
    </row>
    <row r="223" spans="1:21" ht="80.099999999999994" customHeight="1">
      <c r="A223" s="8">
        <v>37</v>
      </c>
      <c r="B223" s="9" t="s">
        <v>65</v>
      </c>
      <c r="C223" s="10" t="s">
        <v>66</v>
      </c>
      <c r="D223" s="10" t="s">
        <v>67</v>
      </c>
      <c r="E223" s="10" t="s">
        <v>68</v>
      </c>
      <c r="F223" s="10" t="s">
        <v>69</v>
      </c>
      <c r="G223" s="10" t="s">
        <v>70</v>
      </c>
      <c r="H223" s="11">
        <v>3</v>
      </c>
      <c r="I223" s="11">
        <v>3</v>
      </c>
      <c r="J223" s="10" t="s">
        <v>71</v>
      </c>
      <c r="K223" s="12" t="s">
        <v>713</v>
      </c>
      <c r="L223" s="17" t="s">
        <v>714</v>
      </c>
      <c r="M223" s="14">
        <v>3</v>
      </c>
      <c r="N223" s="14">
        <v>0</v>
      </c>
      <c r="O223" s="14">
        <v>0</v>
      </c>
      <c r="P223" s="14">
        <v>0</v>
      </c>
      <c r="Q223" s="14">
        <v>100</v>
      </c>
      <c r="R223" s="23" t="s">
        <v>36</v>
      </c>
      <c r="S223" s="14" t="str">
        <f t="shared" si="9"/>
        <v/>
      </c>
      <c r="T223" s="14" t="str">
        <f t="shared" si="10"/>
        <v/>
      </c>
      <c r="U223" s="14" t="str">
        <f t="shared" si="11"/>
        <v/>
      </c>
    </row>
    <row r="224" spans="1:21" ht="104.1" customHeight="1">
      <c r="A224" s="8">
        <v>38</v>
      </c>
      <c r="B224" s="9" t="s">
        <v>17</v>
      </c>
      <c r="C224" s="10" t="s">
        <v>18</v>
      </c>
      <c r="D224" s="10" t="s">
        <v>19</v>
      </c>
      <c r="E224" s="10" t="s">
        <v>242</v>
      </c>
      <c r="F224" s="10" t="s">
        <v>21</v>
      </c>
      <c r="G224" s="10" t="s">
        <v>22</v>
      </c>
      <c r="H224" s="11">
        <v>3</v>
      </c>
      <c r="I224" s="11">
        <v>2</v>
      </c>
      <c r="J224" s="10" t="s">
        <v>715</v>
      </c>
      <c r="K224" s="12" t="s">
        <v>716</v>
      </c>
      <c r="L224" s="17" t="s">
        <v>717</v>
      </c>
      <c r="M224" s="14">
        <v>3</v>
      </c>
      <c r="N224" s="14">
        <v>0</v>
      </c>
      <c r="O224" s="14">
        <v>0</v>
      </c>
      <c r="P224" s="14">
        <v>100</v>
      </c>
      <c r="Q224" s="14">
        <v>0</v>
      </c>
      <c r="R224" s="23" t="s">
        <v>36</v>
      </c>
      <c r="S224" s="14" t="str">
        <f t="shared" si="9"/>
        <v/>
      </c>
      <c r="T224" s="14" t="str">
        <f t="shared" si="10"/>
        <v/>
      </c>
      <c r="U224" s="14" t="str">
        <f t="shared" si="11"/>
        <v/>
      </c>
    </row>
    <row r="225" spans="1:21" ht="92.1" customHeight="1">
      <c r="A225" s="8">
        <v>38</v>
      </c>
      <c r="B225" s="9" t="s">
        <v>27</v>
      </c>
      <c r="C225" s="10" t="s">
        <v>28</v>
      </c>
      <c r="D225" s="10" t="s">
        <v>29</v>
      </c>
      <c r="E225" s="10" t="s">
        <v>104</v>
      </c>
      <c r="F225" s="10" t="s">
        <v>31</v>
      </c>
      <c r="G225" s="10" t="s">
        <v>32</v>
      </c>
      <c r="H225" s="11">
        <v>2</v>
      </c>
      <c r="I225" s="11">
        <v>2</v>
      </c>
      <c r="J225" s="10" t="s">
        <v>79</v>
      </c>
      <c r="K225" s="12" t="s">
        <v>718</v>
      </c>
      <c r="L225" s="17" t="s">
        <v>719</v>
      </c>
      <c r="M225" s="14">
        <v>3</v>
      </c>
      <c r="N225" s="14">
        <v>0</v>
      </c>
      <c r="O225" s="14">
        <v>0</v>
      </c>
      <c r="P225" s="14">
        <v>10</v>
      </c>
      <c r="Q225" s="14">
        <v>90</v>
      </c>
      <c r="R225" s="23" t="s">
        <v>26</v>
      </c>
      <c r="S225" s="14" t="str">
        <f t="shared" si="9"/>
        <v/>
      </c>
      <c r="T225" s="14" t="str">
        <f t="shared" si="10"/>
        <v/>
      </c>
      <c r="U225" s="14" t="str">
        <f t="shared" si="11"/>
        <v/>
      </c>
    </row>
    <row r="226" spans="1:21" ht="80.099999999999994" customHeight="1">
      <c r="A226" s="8">
        <v>38</v>
      </c>
      <c r="B226" s="9" t="s">
        <v>37</v>
      </c>
      <c r="C226" s="10" t="s">
        <v>38</v>
      </c>
      <c r="D226" s="10" t="s">
        <v>39</v>
      </c>
      <c r="E226" s="10" t="s">
        <v>132</v>
      </c>
      <c r="F226" s="10" t="s">
        <v>41</v>
      </c>
      <c r="G226" s="10" t="s">
        <v>42</v>
      </c>
      <c r="H226" s="11">
        <v>1</v>
      </c>
      <c r="I226" s="11">
        <v>1</v>
      </c>
      <c r="J226" s="10" t="s">
        <v>720</v>
      </c>
      <c r="K226" s="12" t="s">
        <v>721</v>
      </c>
      <c r="L226" s="17" t="s">
        <v>722</v>
      </c>
      <c r="M226" s="14">
        <v>3</v>
      </c>
      <c r="N226" s="14">
        <v>0</v>
      </c>
      <c r="O226" s="14">
        <v>10</v>
      </c>
      <c r="P226" s="14">
        <v>30</v>
      </c>
      <c r="Q226" s="14">
        <v>60</v>
      </c>
      <c r="R226" s="23" t="s">
        <v>26</v>
      </c>
      <c r="S226" s="14" t="str">
        <f t="shared" si="9"/>
        <v/>
      </c>
      <c r="T226" s="14" t="str">
        <f t="shared" si="10"/>
        <v/>
      </c>
      <c r="U226" s="14" t="str">
        <f t="shared" si="11"/>
        <v/>
      </c>
    </row>
    <row r="227" spans="1:21" ht="92.1" customHeight="1">
      <c r="A227" s="8">
        <v>38</v>
      </c>
      <c r="B227" s="9" t="s">
        <v>46</v>
      </c>
      <c r="C227" s="10" t="s">
        <v>47</v>
      </c>
      <c r="D227" s="10" t="s">
        <v>48</v>
      </c>
      <c r="E227" s="10" t="s">
        <v>112</v>
      </c>
      <c r="F227" s="10" t="s">
        <v>50</v>
      </c>
      <c r="G227" s="10" t="s">
        <v>51</v>
      </c>
      <c r="H227" s="11">
        <v>3</v>
      </c>
      <c r="I227" s="11">
        <v>1</v>
      </c>
      <c r="J227" s="10" t="s">
        <v>723</v>
      </c>
      <c r="K227" s="12" t="s">
        <v>724</v>
      </c>
      <c r="L227" s="17" t="s">
        <v>725</v>
      </c>
      <c r="M227" s="14">
        <v>3</v>
      </c>
      <c r="N227" s="14">
        <v>0</v>
      </c>
      <c r="O227" s="14">
        <v>90</v>
      </c>
      <c r="P227" s="14">
        <v>5</v>
      </c>
      <c r="Q227" s="14">
        <v>5</v>
      </c>
      <c r="R227" s="23" t="s">
        <v>36</v>
      </c>
      <c r="S227" s="14" t="str">
        <f t="shared" si="9"/>
        <v/>
      </c>
      <c r="T227" s="14" t="str">
        <f t="shared" si="10"/>
        <v/>
      </c>
      <c r="U227" s="14" t="str">
        <f t="shared" si="11"/>
        <v/>
      </c>
    </row>
    <row r="228" spans="1:21" ht="104.1" customHeight="1">
      <c r="A228" s="8">
        <v>38</v>
      </c>
      <c r="B228" s="9" t="s">
        <v>55</v>
      </c>
      <c r="C228" s="10" t="s">
        <v>56</v>
      </c>
      <c r="D228" s="10" t="s">
        <v>57</v>
      </c>
      <c r="E228" s="10" t="s">
        <v>139</v>
      </c>
      <c r="F228" s="10" t="s">
        <v>59</v>
      </c>
      <c r="G228" s="10" t="s">
        <v>60</v>
      </c>
      <c r="H228" s="11">
        <v>3</v>
      </c>
      <c r="I228" s="11">
        <v>3</v>
      </c>
      <c r="J228" s="10" t="s">
        <v>253</v>
      </c>
      <c r="K228" s="12" t="s">
        <v>726</v>
      </c>
      <c r="L228" s="17" t="s">
        <v>727</v>
      </c>
      <c r="M228" s="14">
        <v>3</v>
      </c>
      <c r="N228" s="14">
        <v>0</v>
      </c>
      <c r="O228" s="14">
        <v>0</v>
      </c>
      <c r="P228" s="14">
        <v>0</v>
      </c>
      <c r="Q228" s="14">
        <v>100</v>
      </c>
      <c r="R228" s="23" t="s">
        <v>36</v>
      </c>
      <c r="S228" s="14" t="str">
        <f t="shared" si="9"/>
        <v/>
      </c>
      <c r="T228" s="14" t="str">
        <f t="shared" si="10"/>
        <v/>
      </c>
      <c r="U228" s="14" t="str">
        <f t="shared" si="11"/>
        <v/>
      </c>
    </row>
    <row r="229" spans="1:21" ht="80.099999999999994" customHeight="1">
      <c r="A229" s="8">
        <v>38</v>
      </c>
      <c r="B229" s="9" t="s">
        <v>65</v>
      </c>
      <c r="C229" s="10" t="s">
        <v>66</v>
      </c>
      <c r="D229" s="10" t="s">
        <v>67</v>
      </c>
      <c r="E229" s="10" t="s">
        <v>166</v>
      </c>
      <c r="F229" s="10" t="s">
        <v>69</v>
      </c>
      <c r="G229" s="10" t="s">
        <v>70</v>
      </c>
      <c r="H229" s="11">
        <v>2</v>
      </c>
      <c r="I229" s="11">
        <v>1</v>
      </c>
      <c r="J229" s="10" t="s">
        <v>728</v>
      </c>
      <c r="K229" s="12" t="s">
        <v>729</v>
      </c>
      <c r="L229" s="17" t="s">
        <v>730</v>
      </c>
      <c r="M229" s="14">
        <v>3</v>
      </c>
      <c r="N229" s="14">
        <v>0</v>
      </c>
      <c r="O229" s="14">
        <v>5</v>
      </c>
      <c r="P229" s="14">
        <v>45</v>
      </c>
      <c r="Q229" s="14">
        <v>50</v>
      </c>
      <c r="R229" s="23" t="s">
        <v>26</v>
      </c>
      <c r="S229" s="14" t="str">
        <f t="shared" si="9"/>
        <v/>
      </c>
      <c r="T229" s="14" t="str">
        <f t="shared" si="10"/>
        <v/>
      </c>
      <c r="U229" s="14" t="str">
        <f t="shared" si="11"/>
        <v/>
      </c>
    </row>
    <row r="230" spans="1:21" ht="80.099999999999994" customHeight="1">
      <c r="A230" s="8">
        <v>39</v>
      </c>
      <c r="B230" s="9" t="s">
        <v>17</v>
      </c>
      <c r="C230" s="10" t="s">
        <v>18</v>
      </c>
      <c r="D230" s="10" t="s">
        <v>19</v>
      </c>
      <c r="E230" s="10" t="s">
        <v>100</v>
      </c>
      <c r="F230" s="10" t="s">
        <v>21</v>
      </c>
      <c r="G230" s="10" t="s">
        <v>22</v>
      </c>
      <c r="H230" s="11">
        <v>2</v>
      </c>
      <c r="I230" s="11">
        <v>1</v>
      </c>
      <c r="J230" s="10" t="s">
        <v>731</v>
      </c>
      <c r="K230" s="12" t="s">
        <v>732</v>
      </c>
      <c r="L230" s="17" t="s">
        <v>733</v>
      </c>
      <c r="M230" s="14">
        <v>3</v>
      </c>
      <c r="N230" s="14">
        <v>0</v>
      </c>
      <c r="O230" s="14">
        <v>10</v>
      </c>
      <c r="P230" s="14">
        <v>40</v>
      </c>
      <c r="Q230" s="14">
        <v>50</v>
      </c>
      <c r="R230" s="23" t="s">
        <v>26</v>
      </c>
      <c r="S230" s="14" t="str">
        <f t="shared" si="9"/>
        <v/>
      </c>
      <c r="T230" s="14" t="str">
        <f t="shared" si="10"/>
        <v/>
      </c>
      <c r="U230" s="14" t="str">
        <f t="shared" si="11"/>
        <v/>
      </c>
    </row>
    <row r="231" spans="1:21" ht="80.099999999999994" customHeight="1">
      <c r="A231" s="8">
        <v>39</v>
      </c>
      <c r="B231" s="9" t="s">
        <v>27</v>
      </c>
      <c r="C231" s="10" t="s">
        <v>28</v>
      </c>
      <c r="D231" s="10" t="s">
        <v>29</v>
      </c>
      <c r="E231" s="10" t="s">
        <v>148</v>
      </c>
      <c r="F231" s="10" t="s">
        <v>31</v>
      </c>
      <c r="G231" s="10" t="s">
        <v>32</v>
      </c>
      <c r="H231" s="11">
        <v>1</v>
      </c>
      <c r="I231" s="11">
        <v>1</v>
      </c>
      <c r="J231" s="10" t="s">
        <v>105</v>
      </c>
      <c r="K231" s="12" t="s">
        <v>734</v>
      </c>
      <c r="L231" s="17" t="s">
        <v>735</v>
      </c>
      <c r="M231" s="14">
        <v>3</v>
      </c>
      <c r="N231" s="14">
        <v>0</v>
      </c>
      <c r="O231" s="14">
        <v>10</v>
      </c>
      <c r="P231" s="14">
        <v>30</v>
      </c>
      <c r="Q231" s="14">
        <v>60</v>
      </c>
      <c r="R231" s="23" t="s">
        <v>26</v>
      </c>
      <c r="S231" s="14" t="str">
        <f t="shared" si="9"/>
        <v/>
      </c>
      <c r="T231" s="14" t="str">
        <f t="shared" si="10"/>
        <v/>
      </c>
      <c r="U231" s="14" t="str">
        <f t="shared" si="11"/>
        <v/>
      </c>
    </row>
    <row r="232" spans="1:21" ht="80.099999999999994" customHeight="1">
      <c r="A232" s="8">
        <v>39</v>
      </c>
      <c r="B232" s="9" t="s">
        <v>37</v>
      </c>
      <c r="C232" s="10" t="s">
        <v>38</v>
      </c>
      <c r="D232" s="10" t="s">
        <v>39</v>
      </c>
      <c r="E232" s="10" t="s">
        <v>152</v>
      </c>
      <c r="F232" s="10" t="s">
        <v>41</v>
      </c>
      <c r="G232" s="10" t="s">
        <v>42</v>
      </c>
      <c r="H232" s="11">
        <v>2</v>
      </c>
      <c r="I232" s="11">
        <v>2</v>
      </c>
      <c r="J232" s="10" t="s">
        <v>736</v>
      </c>
      <c r="K232" s="12" t="s">
        <v>737</v>
      </c>
      <c r="L232" s="17" t="s">
        <v>738</v>
      </c>
      <c r="M232" s="14">
        <v>3</v>
      </c>
      <c r="N232" s="14">
        <v>0</v>
      </c>
      <c r="O232" s="14">
        <v>0</v>
      </c>
      <c r="P232" s="14">
        <v>10</v>
      </c>
      <c r="Q232" s="14">
        <v>90</v>
      </c>
      <c r="R232" s="23" t="s">
        <v>26</v>
      </c>
      <c r="S232" s="14" t="str">
        <f t="shared" si="9"/>
        <v/>
      </c>
      <c r="T232" s="14" t="str">
        <f t="shared" si="10"/>
        <v/>
      </c>
      <c r="U232" s="14" t="str">
        <f t="shared" si="11"/>
        <v/>
      </c>
    </row>
    <row r="233" spans="1:21" ht="80.099999999999994" customHeight="1">
      <c r="A233" s="8">
        <v>39</v>
      </c>
      <c r="B233" s="9" t="s">
        <v>46</v>
      </c>
      <c r="C233" s="10" t="s">
        <v>47</v>
      </c>
      <c r="D233" s="10" t="s">
        <v>48</v>
      </c>
      <c r="E233" s="10" t="s">
        <v>156</v>
      </c>
      <c r="F233" s="10" t="s">
        <v>50</v>
      </c>
      <c r="G233" s="10" t="s">
        <v>51</v>
      </c>
      <c r="H233" s="11">
        <v>3</v>
      </c>
      <c r="I233" s="11">
        <v>2</v>
      </c>
      <c r="J233" s="10" t="s">
        <v>739</v>
      </c>
      <c r="K233" s="12" t="s">
        <v>740</v>
      </c>
      <c r="L233" s="17" t="s">
        <v>741</v>
      </c>
      <c r="M233" s="14">
        <v>3</v>
      </c>
      <c r="N233" s="14">
        <v>0</v>
      </c>
      <c r="O233" s="14">
        <v>0</v>
      </c>
      <c r="P233" s="14">
        <v>50</v>
      </c>
      <c r="Q233" s="14">
        <v>50</v>
      </c>
      <c r="R233" s="23" t="s">
        <v>36</v>
      </c>
      <c r="S233" s="14" t="str">
        <f t="shared" si="9"/>
        <v/>
      </c>
      <c r="T233" s="14" t="str">
        <f t="shared" si="10"/>
        <v/>
      </c>
      <c r="U233" s="14" t="str">
        <f t="shared" si="11"/>
        <v/>
      </c>
    </row>
    <row r="234" spans="1:21" ht="80.099999999999994" customHeight="1">
      <c r="A234" s="8">
        <v>39</v>
      </c>
      <c r="B234" s="9" t="s">
        <v>55</v>
      </c>
      <c r="C234" s="10" t="s">
        <v>56</v>
      </c>
      <c r="D234" s="10" t="s">
        <v>57</v>
      </c>
      <c r="E234" s="10" t="s">
        <v>139</v>
      </c>
      <c r="F234" s="10" t="s">
        <v>59</v>
      </c>
      <c r="G234" s="10" t="s">
        <v>60</v>
      </c>
      <c r="H234" s="11">
        <v>3</v>
      </c>
      <c r="I234" s="11">
        <v>3</v>
      </c>
      <c r="J234" s="10" t="s">
        <v>742</v>
      </c>
      <c r="K234" s="12" t="s">
        <v>743</v>
      </c>
      <c r="L234" s="17" t="s">
        <v>744</v>
      </c>
      <c r="M234" s="14">
        <v>3</v>
      </c>
      <c r="N234" s="14">
        <v>0</v>
      </c>
      <c r="O234" s="14">
        <v>0</v>
      </c>
      <c r="P234" s="14">
        <v>0</v>
      </c>
      <c r="Q234" s="14">
        <v>100</v>
      </c>
      <c r="R234" s="23" t="s">
        <v>36</v>
      </c>
      <c r="S234" s="14" t="str">
        <f t="shared" si="9"/>
        <v/>
      </c>
      <c r="T234" s="14" t="str">
        <f t="shared" si="10"/>
        <v/>
      </c>
      <c r="U234" s="14" t="str">
        <f t="shared" si="11"/>
        <v/>
      </c>
    </row>
    <row r="235" spans="1:21" ht="80.099999999999994" customHeight="1">
      <c r="A235" s="8">
        <v>39</v>
      </c>
      <c r="B235" s="9" t="s">
        <v>65</v>
      </c>
      <c r="C235" s="10" t="s">
        <v>66</v>
      </c>
      <c r="D235" s="10" t="s">
        <v>67</v>
      </c>
      <c r="E235" s="10" t="s">
        <v>446</v>
      </c>
      <c r="F235" s="10" t="s">
        <v>69</v>
      </c>
      <c r="G235" s="10" t="s">
        <v>70</v>
      </c>
      <c r="H235" s="11">
        <v>3</v>
      </c>
      <c r="I235" s="11">
        <v>1</v>
      </c>
      <c r="J235" s="10" t="s">
        <v>745</v>
      </c>
      <c r="K235" s="12" t="s">
        <v>746</v>
      </c>
      <c r="L235" s="17" t="s">
        <v>747</v>
      </c>
      <c r="M235" s="14">
        <v>3</v>
      </c>
      <c r="N235" s="14">
        <v>0</v>
      </c>
      <c r="O235" s="14">
        <v>100</v>
      </c>
      <c r="P235" s="14">
        <v>0</v>
      </c>
      <c r="Q235" s="14">
        <v>0</v>
      </c>
      <c r="R235" s="23" t="s">
        <v>36</v>
      </c>
      <c r="S235" s="14" t="str">
        <f t="shared" si="9"/>
        <v/>
      </c>
      <c r="T235" s="14" t="str">
        <f t="shared" si="10"/>
        <v/>
      </c>
      <c r="U235" s="14" t="str">
        <f t="shared" si="11"/>
        <v/>
      </c>
    </row>
    <row r="236" spans="1:21" ht="104.1" customHeight="1">
      <c r="A236" s="8">
        <v>40</v>
      </c>
      <c r="B236" s="9" t="s">
        <v>17</v>
      </c>
      <c r="C236" s="10" t="s">
        <v>18</v>
      </c>
      <c r="D236" s="10" t="s">
        <v>19</v>
      </c>
      <c r="E236" s="10" t="s">
        <v>125</v>
      </c>
      <c r="F236" s="10" t="s">
        <v>21</v>
      </c>
      <c r="G236" s="10" t="s">
        <v>22</v>
      </c>
      <c r="H236" s="11">
        <v>3</v>
      </c>
      <c r="I236" s="11">
        <v>1</v>
      </c>
      <c r="J236" s="10" t="s">
        <v>748</v>
      </c>
      <c r="K236" s="12" t="s">
        <v>749</v>
      </c>
      <c r="L236" s="17" t="s">
        <v>750</v>
      </c>
      <c r="M236" s="14">
        <v>3</v>
      </c>
      <c r="N236" s="14">
        <v>0</v>
      </c>
      <c r="O236" s="14">
        <v>100</v>
      </c>
      <c r="P236" s="14">
        <v>0</v>
      </c>
      <c r="Q236" s="14">
        <v>0</v>
      </c>
      <c r="R236" s="23" t="s">
        <v>36</v>
      </c>
      <c r="S236" s="14" t="str">
        <f t="shared" si="9"/>
        <v/>
      </c>
      <c r="T236" s="14" t="str">
        <f t="shared" si="10"/>
        <v/>
      </c>
      <c r="U236" s="14" t="str">
        <f t="shared" si="11"/>
        <v/>
      </c>
    </row>
    <row r="237" spans="1:21" ht="80.099999999999994" customHeight="1">
      <c r="A237" s="8">
        <v>40</v>
      </c>
      <c r="B237" s="9" t="s">
        <v>27</v>
      </c>
      <c r="C237" s="10" t="s">
        <v>28</v>
      </c>
      <c r="D237" s="10" t="s">
        <v>29</v>
      </c>
      <c r="E237" s="10" t="s">
        <v>78</v>
      </c>
      <c r="F237" s="10" t="s">
        <v>31</v>
      </c>
      <c r="G237" s="10" t="s">
        <v>32</v>
      </c>
      <c r="H237" s="11">
        <v>3</v>
      </c>
      <c r="I237" s="11">
        <v>2</v>
      </c>
      <c r="J237" s="10" t="s">
        <v>318</v>
      </c>
      <c r="K237" s="12" t="s">
        <v>751</v>
      </c>
      <c r="L237" s="17" t="s">
        <v>752</v>
      </c>
      <c r="M237" s="14">
        <v>3</v>
      </c>
      <c r="N237" s="14">
        <v>0</v>
      </c>
      <c r="O237" s="14">
        <v>0</v>
      </c>
      <c r="P237" s="14">
        <v>100</v>
      </c>
      <c r="Q237" s="14">
        <v>0</v>
      </c>
      <c r="R237" s="23" t="s">
        <v>36</v>
      </c>
      <c r="S237" s="14" t="str">
        <f t="shared" si="9"/>
        <v/>
      </c>
      <c r="T237" s="14" t="str">
        <f t="shared" si="10"/>
        <v/>
      </c>
      <c r="U237" s="14" t="str">
        <f t="shared" si="11"/>
        <v/>
      </c>
    </row>
    <row r="238" spans="1:21" ht="80.099999999999994" customHeight="1">
      <c r="A238" s="8">
        <v>40</v>
      </c>
      <c r="B238" s="9" t="s">
        <v>37</v>
      </c>
      <c r="C238" s="10" t="s">
        <v>38</v>
      </c>
      <c r="D238" s="10" t="s">
        <v>39</v>
      </c>
      <c r="E238" s="10" t="s">
        <v>176</v>
      </c>
      <c r="F238" s="10" t="s">
        <v>41</v>
      </c>
      <c r="G238" s="10" t="s">
        <v>42</v>
      </c>
      <c r="H238" s="11">
        <v>2</v>
      </c>
      <c r="I238" s="11">
        <v>1</v>
      </c>
      <c r="J238" s="10" t="s">
        <v>753</v>
      </c>
      <c r="K238" s="12" t="s">
        <v>754</v>
      </c>
      <c r="L238" s="17" t="s">
        <v>755</v>
      </c>
      <c r="M238" s="14" t="s">
        <v>756</v>
      </c>
      <c r="N238" s="14">
        <v>0</v>
      </c>
      <c r="O238" s="14">
        <v>10</v>
      </c>
      <c r="P238" s="14">
        <v>40</v>
      </c>
      <c r="Q238" s="14">
        <v>50</v>
      </c>
      <c r="R238" s="23" t="s">
        <v>95</v>
      </c>
      <c r="S238" s="14" t="str">
        <f t="shared" si="9"/>
        <v/>
      </c>
      <c r="T238" s="14" t="str">
        <f t="shared" si="10"/>
        <v>drop_wrongPrior</v>
      </c>
      <c r="U238" s="14" t="str">
        <f t="shared" si="11"/>
        <v>wrongKnowledge</v>
      </c>
    </row>
    <row r="239" spans="1:21" ht="80.099999999999994" customHeight="1">
      <c r="A239" s="8">
        <v>40</v>
      </c>
      <c r="B239" s="9" t="s">
        <v>46</v>
      </c>
      <c r="C239" s="10" t="s">
        <v>47</v>
      </c>
      <c r="D239" s="10" t="s">
        <v>48</v>
      </c>
      <c r="E239" s="10" t="s">
        <v>307</v>
      </c>
      <c r="F239" s="10" t="s">
        <v>50</v>
      </c>
      <c r="G239" s="10" t="s">
        <v>51</v>
      </c>
      <c r="H239" s="11">
        <v>3</v>
      </c>
      <c r="I239" s="11">
        <v>3</v>
      </c>
      <c r="J239" s="10" t="s">
        <v>757</v>
      </c>
      <c r="K239" s="12" t="s">
        <v>758</v>
      </c>
      <c r="L239" s="17" t="s">
        <v>759</v>
      </c>
      <c r="M239" s="14">
        <v>3</v>
      </c>
      <c r="N239" s="14">
        <v>0</v>
      </c>
      <c r="O239" s="14">
        <v>0</v>
      </c>
      <c r="P239" s="14">
        <v>0</v>
      </c>
      <c r="Q239" s="14">
        <v>100</v>
      </c>
      <c r="R239" s="23" t="s">
        <v>36</v>
      </c>
      <c r="S239" s="14" t="str">
        <f t="shared" si="9"/>
        <v/>
      </c>
      <c r="T239" s="14" t="str">
        <f t="shared" si="10"/>
        <v/>
      </c>
      <c r="U239" s="14" t="str">
        <f t="shared" si="11"/>
        <v/>
      </c>
    </row>
    <row r="240" spans="1:21" ht="80.099999999999994" customHeight="1">
      <c r="A240" s="8">
        <v>40</v>
      </c>
      <c r="B240" s="9" t="s">
        <v>55</v>
      </c>
      <c r="C240" s="10" t="s">
        <v>56</v>
      </c>
      <c r="D240" s="10" t="s">
        <v>57</v>
      </c>
      <c r="E240" s="10" t="s">
        <v>90</v>
      </c>
      <c r="F240" s="10" t="s">
        <v>59</v>
      </c>
      <c r="G240" s="10" t="s">
        <v>60</v>
      </c>
      <c r="H240" s="11">
        <v>1</v>
      </c>
      <c r="I240" s="11">
        <v>1</v>
      </c>
      <c r="J240" s="10" t="s">
        <v>760</v>
      </c>
      <c r="K240" s="12" t="s">
        <v>761</v>
      </c>
      <c r="L240" s="17" t="s">
        <v>762</v>
      </c>
      <c r="M240" s="14">
        <v>3</v>
      </c>
      <c r="N240" s="14">
        <v>0</v>
      </c>
      <c r="O240" s="14">
        <v>10</v>
      </c>
      <c r="P240" s="14">
        <v>30</v>
      </c>
      <c r="Q240" s="14">
        <v>60</v>
      </c>
      <c r="R240" s="23" t="s">
        <v>26</v>
      </c>
      <c r="S240" s="14" t="str">
        <f t="shared" si="9"/>
        <v/>
      </c>
      <c r="T240" s="14" t="str">
        <f t="shared" si="10"/>
        <v/>
      </c>
      <c r="U240" s="14" t="str">
        <f t="shared" si="11"/>
        <v/>
      </c>
    </row>
    <row r="241" spans="1:21" ht="104.1" customHeight="1">
      <c r="A241" s="8">
        <v>40</v>
      </c>
      <c r="B241" s="9" t="s">
        <v>65</v>
      </c>
      <c r="C241" s="10" t="s">
        <v>66</v>
      </c>
      <c r="D241" s="10" t="s">
        <v>67</v>
      </c>
      <c r="E241" s="10" t="s">
        <v>96</v>
      </c>
      <c r="F241" s="10" t="s">
        <v>69</v>
      </c>
      <c r="G241" s="10" t="s">
        <v>70</v>
      </c>
      <c r="H241" s="11">
        <v>2</v>
      </c>
      <c r="I241" s="11">
        <v>2</v>
      </c>
      <c r="J241" s="10" t="s">
        <v>71</v>
      </c>
      <c r="K241" s="12" t="s">
        <v>763</v>
      </c>
      <c r="L241" s="17" t="s">
        <v>764</v>
      </c>
      <c r="M241" s="14">
        <v>3</v>
      </c>
      <c r="N241" s="14">
        <v>0</v>
      </c>
      <c r="O241" s="14">
        <v>0</v>
      </c>
      <c r="P241" s="14">
        <v>5</v>
      </c>
      <c r="Q241" s="14">
        <v>95</v>
      </c>
      <c r="R241" s="23" t="s">
        <v>26</v>
      </c>
      <c r="S241" s="14" t="str">
        <f t="shared" si="9"/>
        <v/>
      </c>
      <c r="T241" s="14" t="str">
        <f t="shared" si="10"/>
        <v/>
      </c>
      <c r="U241" s="14" t="str">
        <f t="shared" si="11"/>
        <v/>
      </c>
    </row>
    <row r="242" spans="1:21" ht="68.099999999999994" customHeight="1">
      <c r="A242" s="8">
        <v>41</v>
      </c>
      <c r="B242" s="9" t="s">
        <v>17</v>
      </c>
      <c r="C242" s="10" t="s">
        <v>18</v>
      </c>
      <c r="D242" s="10" t="s">
        <v>19</v>
      </c>
      <c r="E242" s="10" t="s">
        <v>315</v>
      </c>
      <c r="F242" s="10" t="s">
        <v>21</v>
      </c>
      <c r="G242" s="10" t="s">
        <v>22</v>
      </c>
      <c r="H242" s="11">
        <v>1</v>
      </c>
      <c r="I242" s="11">
        <v>1</v>
      </c>
      <c r="J242" s="10" t="s">
        <v>765</v>
      </c>
      <c r="K242" s="12" t="s">
        <v>766</v>
      </c>
      <c r="L242" s="17" t="s">
        <v>767</v>
      </c>
      <c r="M242" s="14">
        <v>3</v>
      </c>
      <c r="N242" s="14">
        <v>0</v>
      </c>
      <c r="O242" s="14">
        <v>10</v>
      </c>
      <c r="P242" s="14" t="s">
        <v>293</v>
      </c>
      <c r="Q242" s="14" t="s">
        <v>169</v>
      </c>
      <c r="R242" s="23" t="s">
        <v>26</v>
      </c>
      <c r="S242" s="14" t="str">
        <f t="shared" si="9"/>
        <v>drop_incomplete</v>
      </c>
      <c r="T242" s="14" t="str">
        <f t="shared" si="10"/>
        <v/>
      </c>
      <c r="U242" s="14" t="str">
        <f t="shared" si="11"/>
        <v/>
      </c>
    </row>
    <row r="243" spans="1:21" ht="44.1" customHeight="1">
      <c r="A243" s="8">
        <v>41</v>
      </c>
      <c r="B243" s="9" t="s">
        <v>27</v>
      </c>
      <c r="C243" s="10" t="s">
        <v>28</v>
      </c>
      <c r="D243" s="10" t="s">
        <v>29</v>
      </c>
      <c r="E243" s="10" t="s">
        <v>30</v>
      </c>
      <c r="F243" s="10" t="s">
        <v>31</v>
      </c>
      <c r="G243" s="10" t="s">
        <v>32</v>
      </c>
      <c r="H243" s="11">
        <v>3</v>
      </c>
      <c r="I243" s="11">
        <v>1</v>
      </c>
      <c r="J243" s="10" t="s">
        <v>768</v>
      </c>
      <c r="K243" s="12" t="s">
        <v>769</v>
      </c>
      <c r="L243" s="17" t="s">
        <v>770</v>
      </c>
      <c r="M243" s="14">
        <v>3</v>
      </c>
      <c r="N243" s="14">
        <v>0</v>
      </c>
      <c r="O243" s="14">
        <v>100</v>
      </c>
      <c r="P243" s="14">
        <v>0</v>
      </c>
      <c r="Q243" s="14">
        <v>0</v>
      </c>
      <c r="R243" s="23" t="s">
        <v>36</v>
      </c>
      <c r="S243" s="14" t="str">
        <f t="shared" si="9"/>
        <v/>
      </c>
      <c r="T243" s="14" t="str">
        <f t="shared" si="10"/>
        <v/>
      </c>
      <c r="U243" s="14" t="str">
        <f t="shared" si="11"/>
        <v/>
      </c>
    </row>
    <row r="244" spans="1:21" ht="80.099999999999994" customHeight="1">
      <c r="A244" s="8">
        <v>41</v>
      </c>
      <c r="B244" s="9" t="s">
        <v>37</v>
      </c>
      <c r="C244" s="10" t="s">
        <v>38</v>
      </c>
      <c r="D244" s="10" t="s">
        <v>39</v>
      </c>
      <c r="E244" s="10" t="s">
        <v>108</v>
      </c>
      <c r="F244" s="10" t="s">
        <v>41</v>
      </c>
      <c r="G244" s="10" t="s">
        <v>42</v>
      </c>
      <c r="H244" s="11">
        <v>3</v>
      </c>
      <c r="I244" s="11">
        <v>3</v>
      </c>
      <c r="J244" s="10" t="s">
        <v>771</v>
      </c>
      <c r="K244" s="12" t="s">
        <v>772</v>
      </c>
      <c r="L244" s="17" t="s">
        <v>773</v>
      </c>
      <c r="M244" s="14">
        <v>3</v>
      </c>
      <c r="N244" s="14">
        <v>0</v>
      </c>
      <c r="O244" s="14">
        <v>0</v>
      </c>
      <c r="P244" s="14">
        <v>0</v>
      </c>
      <c r="Q244" s="14">
        <v>100</v>
      </c>
      <c r="R244" s="23" t="s">
        <v>36</v>
      </c>
      <c r="S244" s="14" t="str">
        <f t="shared" si="9"/>
        <v/>
      </c>
      <c r="T244" s="14" t="str">
        <f t="shared" si="10"/>
        <v/>
      </c>
      <c r="U244" s="14" t="str">
        <f t="shared" si="11"/>
        <v/>
      </c>
    </row>
    <row r="245" spans="1:21" ht="104.1" customHeight="1">
      <c r="A245" s="8">
        <v>41</v>
      </c>
      <c r="B245" s="9" t="s">
        <v>46</v>
      </c>
      <c r="C245" s="10" t="s">
        <v>47</v>
      </c>
      <c r="D245" s="10" t="s">
        <v>48</v>
      </c>
      <c r="E245" s="10" t="s">
        <v>156</v>
      </c>
      <c r="F245" s="10" t="s">
        <v>50</v>
      </c>
      <c r="G245" s="10" t="s">
        <v>51</v>
      </c>
      <c r="H245" s="11">
        <v>3</v>
      </c>
      <c r="I245" s="11">
        <v>2</v>
      </c>
      <c r="J245" s="10" t="s">
        <v>774</v>
      </c>
      <c r="K245" s="12" t="s">
        <v>775</v>
      </c>
      <c r="L245" s="17" t="s">
        <v>776</v>
      </c>
      <c r="M245" s="14">
        <v>3</v>
      </c>
      <c r="N245" s="14">
        <v>0</v>
      </c>
      <c r="O245" s="14">
        <v>0</v>
      </c>
      <c r="P245" s="14">
        <v>100</v>
      </c>
      <c r="Q245" s="14">
        <v>0</v>
      </c>
      <c r="R245" s="23" t="s">
        <v>36</v>
      </c>
      <c r="S245" s="14" t="str">
        <f t="shared" si="9"/>
        <v/>
      </c>
      <c r="T245" s="14" t="str">
        <f t="shared" si="10"/>
        <v/>
      </c>
      <c r="U245" s="14" t="str">
        <f t="shared" si="11"/>
        <v/>
      </c>
    </row>
    <row r="246" spans="1:21" ht="116.1" customHeight="1">
      <c r="A246" s="8">
        <v>41</v>
      </c>
      <c r="B246" s="9" t="s">
        <v>55</v>
      </c>
      <c r="C246" s="10" t="s">
        <v>56</v>
      </c>
      <c r="D246" s="10" t="s">
        <v>57</v>
      </c>
      <c r="E246" s="10" t="s">
        <v>58</v>
      </c>
      <c r="F246" s="10" t="s">
        <v>59</v>
      </c>
      <c r="G246" s="10" t="s">
        <v>60</v>
      </c>
      <c r="H246" s="11">
        <v>2</v>
      </c>
      <c r="I246" s="11">
        <v>1</v>
      </c>
      <c r="J246" s="10" t="s">
        <v>777</v>
      </c>
      <c r="K246" s="12" t="s">
        <v>778</v>
      </c>
      <c r="L246" s="17" t="s">
        <v>779</v>
      </c>
      <c r="M246" s="14">
        <v>3</v>
      </c>
      <c r="N246" s="14">
        <v>0</v>
      </c>
      <c r="O246" s="14">
        <v>10</v>
      </c>
      <c r="P246" s="14">
        <v>50</v>
      </c>
      <c r="Q246" s="14" t="s">
        <v>498</v>
      </c>
      <c r="R246" s="23" t="s">
        <v>26</v>
      </c>
      <c r="S246" s="14" t="str">
        <f t="shared" si="9"/>
        <v>drop_incomplete</v>
      </c>
      <c r="T246" s="14" t="str">
        <f t="shared" si="10"/>
        <v/>
      </c>
      <c r="U246" s="14" t="str">
        <f t="shared" si="11"/>
        <v/>
      </c>
    </row>
    <row r="247" spans="1:21" ht="80.099999999999994" customHeight="1">
      <c r="A247" s="8">
        <v>41</v>
      </c>
      <c r="B247" s="9" t="s">
        <v>65</v>
      </c>
      <c r="C247" s="10" t="s">
        <v>66</v>
      </c>
      <c r="D247" s="10" t="s">
        <v>67</v>
      </c>
      <c r="E247" s="10" t="s">
        <v>96</v>
      </c>
      <c r="F247" s="10" t="s">
        <v>69</v>
      </c>
      <c r="G247" s="10" t="s">
        <v>70</v>
      </c>
      <c r="H247" s="11">
        <v>2</v>
      </c>
      <c r="I247" s="11">
        <v>2</v>
      </c>
      <c r="J247" s="10" t="s">
        <v>186</v>
      </c>
      <c r="K247" s="12" t="s">
        <v>780</v>
      </c>
      <c r="L247" s="17" t="s">
        <v>781</v>
      </c>
      <c r="M247" s="14">
        <v>3</v>
      </c>
      <c r="N247" s="14">
        <v>0</v>
      </c>
      <c r="O247" s="14">
        <v>0</v>
      </c>
      <c r="P247" s="14">
        <v>10</v>
      </c>
      <c r="Q247" s="14">
        <v>90</v>
      </c>
      <c r="R247" s="23" t="s">
        <v>26</v>
      </c>
      <c r="S247" s="14" t="str">
        <f t="shared" si="9"/>
        <v/>
      </c>
      <c r="T247" s="14" t="str">
        <f t="shared" si="10"/>
        <v/>
      </c>
      <c r="U247" s="14" t="str">
        <f t="shared" si="11"/>
        <v/>
      </c>
    </row>
    <row r="248" spans="1:21" ht="140.1" customHeight="1">
      <c r="A248" s="8">
        <v>42</v>
      </c>
      <c r="B248" s="9" t="s">
        <v>17</v>
      </c>
      <c r="C248" s="10" t="s">
        <v>18</v>
      </c>
      <c r="D248" s="10" t="s">
        <v>19</v>
      </c>
      <c r="E248" s="10" t="s">
        <v>100</v>
      </c>
      <c r="F248" s="10" t="s">
        <v>21</v>
      </c>
      <c r="G248" s="10" t="s">
        <v>22</v>
      </c>
      <c r="H248" s="11">
        <v>2</v>
      </c>
      <c r="I248" s="11">
        <v>1</v>
      </c>
      <c r="J248" s="10" t="s">
        <v>782</v>
      </c>
      <c r="K248" s="12" t="s">
        <v>783</v>
      </c>
      <c r="L248" s="17" t="s">
        <v>784</v>
      </c>
      <c r="M248" s="14">
        <v>3</v>
      </c>
      <c r="N248" s="14">
        <v>0</v>
      </c>
      <c r="O248" s="14">
        <v>10</v>
      </c>
      <c r="P248" s="14" t="s">
        <v>498</v>
      </c>
      <c r="Q248" s="14" t="s">
        <v>390</v>
      </c>
      <c r="R248" s="23" t="s">
        <v>26</v>
      </c>
      <c r="S248" s="14" t="str">
        <f t="shared" si="9"/>
        <v>drop_incomplete</v>
      </c>
      <c r="T248" s="14" t="str">
        <f t="shared" si="10"/>
        <v/>
      </c>
      <c r="U248" s="14" t="str">
        <f t="shared" si="11"/>
        <v/>
      </c>
    </row>
    <row r="249" spans="1:21" ht="80.099999999999994" customHeight="1">
      <c r="A249" s="8">
        <v>42</v>
      </c>
      <c r="B249" s="9" t="s">
        <v>27</v>
      </c>
      <c r="C249" s="10" t="s">
        <v>28</v>
      </c>
      <c r="D249" s="10" t="s">
        <v>29</v>
      </c>
      <c r="E249" s="10" t="s">
        <v>104</v>
      </c>
      <c r="F249" s="10" t="s">
        <v>31</v>
      </c>
      <c r="G249" s="10" t="s">
        <v>32</v>
      </c>
      <c r="H249" s="11">
        <v>2</v>
      </c>
      <c r="I249" s="11">
        <v>2</v>
      </c>
      <c r="J249" s="10" t="s">
        <v>785</v>
      </c>
      <c r="K249" s="12" t="s">
        <v>786</v>
      </c>
      <c r="L249" s="17" t="s">
        <v>787</v>
      </c>
      <c r="M249" s="14">
        <v>3</v>
      </c>
      <c r="N249" s="14">
        <v>0</v>
      </c>
      <c r="O249" s="14">
        <v>0</v>
      </c>
      <c r="P249" s="14">
        <v>10</v>
      </c>
      <c r="Q249" s="14">
        <v>90</v>
      </c>
      <c r="R249" s="23" t="s">
        <v>26</v>
      </c>
      <c r="S249" s="14" t="str">
        <f t="shared" si="9"/>
        <v/>
      </c>
      <c r="T249" s="14" t="str">
        <f t="shared" si="10"/>
        <v/>
      </c>
      <c r="U249" s="14" t="str">
        <f t="shared" si="11"/>
        <v/>
      </c>
    </row>
    <row r="250" spans="1:21" ht="80.099999999999994" customHeight="1">
      <c r="A250" s="8">
        <v>42</v>
      </c>
      <c r="B250" s="9" t="s">
        <v>37</v>
      </c>
      <c r="C250" s="10" t="s">
        <v>38</v>
      </c>
      <c r="D250" s="10" t="s">
        <v>39</v>
      </c>
      <c r="E250" s="10" t="s">
        <v>40</v>
      </c>
      <c r="F250" s="10" t="s">
        <v>41</v>
      </c>
      <c r="G250" s="10" t="s">
        <v>42</v>
      </c>
      <c r="H250" s="11">
        <v>3</v>
      </c>
      <c r="I250" s="11">
        <v>2</v>
      </c>
      <c r="J250" s="10" t="s">
        <v>788</v>
      </c>
      <c r="K250" s="12" t="s">
        <v>789</v>
      </c>
      <c r="L250" s="17" t="s">
        <v>45</v>
      </c>
      <c r="M250" s="14">
        <v>3</v>
      </c>
      <c r="N250" s="14">
        <v>0</v>
      </c>
      <c r="O250" s="14">
        <v>0</v>
      </c>
      <c r="P250" s="14">
        <v>100</v>
      </c>
      <c r="Q250" s="14">
        <v>0</v>
      </c>
      <c r="R250" s="23" t="s">
        <v>36</v>
      </c>
      <c r="S250" s="14" t="str">
        <f t="shared" si="9"/>
        <v/>
      </c>
      <c r="T250" s="14" t="str">
        <f t="shared" si="10"/>
        <v/>
      </c>
      <c r="U250" s="14" t="str">
        <f t="shared" si="11"/>
        <v/>
      </c>
    </row>
    <row r="251" spans="1:21" ht="80.099999999999994" customHeight="1">
      <c r="A251" s="8">
        <v>42</v>
      </c>
      <c r="B251" s="9" t="s">
        <v>46</v>
      </c>
      <c r="C251" s="10" t="s">
        <v>47</v>
      </c>
      <c r="D251" s="10" t="s">
        <v>48</v>
      </c>
      <c r="E251" s="10" t="s">
        <v>307</v>
      </c>
      <c r="F251" s="10" t="s">
        <v>50</v>
      </c>
      <c r="G251" s="10" t="s">
        <v>51</v>
      </c>
      <c r="H251" s="11">
        <v>3</v>
      </c>
      <c r="I251" s="11">
        <v>3</v>
      </c>
      <c r="J251" s="10" t="s">
        <v>790</v>
      </c>
      <c r="K251" s="12" t="s">
        <v>791</v>
      </c>
      <c r="L251" s="17" t="s">
        <v>792</v>
      </c>
      <c r="M251" s="14">
        <v>3</v>
      </c>
      <c r="N251" s="14">
        <v>0</v>
      </c>
      <c r="O251" s="14">
        <v>0</v>
      </c>
      <c r="P251" s="14">
        <v>0</v>
      </c>
      <c r="Q251" s="14">
        <v>100</v>
      </c>
      <c r="R251" s="23" t="s">
        <v>36</v>
      </c>
      <c r="S251" s="14" t="str">
        <f t="shared" si="9"/>
        <v/>
      </c>
      <c r="T251" s="14" t="str">
        <f t="shared" si="10"/>
        <v/>
      </c>
      <c r="U251" s="14" t="str">
        <f t="shared" si="11"/>
        <v/>
      </c>
    </row>
    <row r="252" spans="1:21" ht="104.1" customHeight="1">
      <c r="A252" s="8">
        <v>42</v>
      </c>
      <c r="B252" s="9" t="s">
        <v>55</v>
      </c>
      <c r="C252" s="10" t="s">
        <v>56</v>
      </c>
      <c r="D252" s="10" t="s">
        <v>57</v>
      </c>
      <c r="E252" s="10" t="s">
        <v>160</v>
      </c>
      <c r="F252" s="10" t="s">
        <v>59</v>
      </c>
      <c r="G252" s="10" t="s">
        <v>60</v>
      </c>
      <c r="H252" s="11">
        <v>3</v>
      </c>
      <c r="I252" s="11">
        <v>1</v>
      </c>
      <c r="J252" s="10" t="s">
        <v>793</v>
      </c>
      <c r="K252" s="12" t="s">
        <v>794</v>
      </c>
      <c r="L252" s="17" t="s">
        <v>795</v>
      </c>
      <c r="M252" s="14" t="s">
        <v>94</v>
      </c>
      <c r="N252" s="14">
        <v>0</v>
      </c>
      <c r="O252" s="14">
        <v>100</v>
      </c>
      <c r="P252" s="14">
        <v>0</v>
      </c>
      <c r="Q252" s="14">
        <v>0</v>
      </c>
      <c r="R252" s="23" t="s">
        <v>36</v>
      </c>
      <c r="S252" s="14" t="str">
        <f t="shared" si="9"/>
        <v/>
      </c>
      <c r="T252" s="14" t="str">
        <f t="shared" si="10"/>
        <v>drop_wrongPrior</v>
      </c>
      <c r="U252" s="14" t="str">
        <f t="shared" si="11"/>
        <v/>
      </c>
    </row>
    <row r="253" spans="1:21" ht="104.1" customHeight="1">
      <c r="A253" s="8">
        <v>42</v>
      </c>
      <c r="B253" s="9" t="s">
        <v>65</v>
      </c>
      <c r="C253" s="10" t="s">
        <v>66</v>
      </c>
      <c r="D253" s="10" t="s">
        <v>67</v>
      </c>
      <c r="E253" s="10" t="s">
        <v>120</v>
      </c>
      <c r="F253" s="10" t="s">
        <v>69</v>
      </c>
      <c r="G253" s="10" t="s">
        <v>70</v>
      </c>
      <c r="H253" s="11">
        <v>1</v>
      </c>
      <c r="I253" s="11">
        <v>1</v>
      </c>
      <c r="J253" s="10" t="s">
        <v>186</v>
      </c>
      <c r="K253" s="12" t="s">
        <v>796</v>
      </c>
      <c r="L253" s="17" t="s">
        <v>797</v>
      </c>
      <c r="M253" s="14">
        <v>3</v>
      </c>
      <c r="N253" s="14">
        <v>0</v>
      </c>
      <c r="O253" s="14">
        <v>0</v>
      </c>
      <c r="P253" s="14">
        <v>20</v>
      </c>
      <c r="Q253" s="14">
        <v>80</v>
      </c>
      <c r="R253" s="23" t="s">
        <v>26</v>
      </c>
      <c r="S253" s="14" t="str">
        <f t="shared" si="9"/>
        <v/>
      </c>
      <c r="T253" s="14" t="str">
        <f t="shared" si="10"/>
        <v/>
      </c>
      <c r="U253" s="14" t="str">
        <f t="shared" si="11"/>
        <v/>
      </c>
    </row>
    <row r="254" spans="1:21" ht="104.1" customHeight="1">
      <c r="A254" s="8">
        <v>43</v>
      </c>
      <c r="B254" s="9" t="s">
        <v>17</v>
      </c>
      <c r="C254" s="10" t="s">
        <v>18</v>
      </c>
      <c r="D254" s="10" t="s">
        <v>19</v>
      </c>
      <c r="E254" s="10" t="s">
        <v>74</v>
      </c>
      <c r="F254" s="10" t="s">
        <v>21</v>
      </c>
      <c r="G254" s="10" t="s">
        <v>22</v>
      </c>
      <c r="H254" s="11">
        <v>3</v>
      </c>
      <c r="I254" s="11">
        <v>3</v>
      </c>
      <c r="J254" s="10" t="s">
        <v>798</v>
      </c>
      <c r="K254" s="12" t="s">
        <v>799</v>
      </c>
      <c r="L254" s="17" t="s">
        <v>800</v>
      </c>
      <c r="M254" s="14" t="s">
        <v>94</v>
      </c>
      <c r="N254" s="14">
        <v>0</v>
      </c>
      <c r="O254" s="14">
        <v>0</v>
      </c>
      <c r="P254" s="14">
        <v>0</v>
      </c>
      <c r="Q254" s="14">
        <v>100</v>
      </c>
      <c r="R254" s="23" t="s">
        <v>36</v>
      </c>
      <c r="S254" s="14" t="str">
        <f t="shared" si="9"/>
        <v/>
      </c>
      <c r="T254" s="14" t="str">
        <f t="shared" si="10"/>
        <v>drop_wrongPrior</v>
      </c>
      <c r="U254" s="14" t="str">
        <f t="shared" si="11"/>
        <v/>
      </c>
    </row>
    <row r="255" spans="1:21" ht="80.099999999999994" customHeight="1">
      <c r="A255" s="8">
        <v>43</v>
      </c>
      <c r="B255" s="9" t="s">
        <v>27</v>
      </c>
      <c r="C255" s="10" t="s">
        <v>28</v>
      </c>
      <c r="D255" s="10" t="s">
        <v>29</v>
      </c>
      <c r="E255" s="10" t="s">
        <v>104</v>
      </c>
      <c r="F255" s="10" t="s">
        <v>31</v>
      </c>
      <c r="G255" s="10" t="s">
        <v>32</v>
      </c>
      <c r="H255" s="11">
        <v>2</v>
      </c>
      <c r="I255" s="11">
        <v>2</v>
      </c>
      <c r="J255" s="10" t="s">
        <v>173</v>
      </c>
      <c r="K255" s="12" t="s">
        <v>801</v>
      </c>
      <c r="L255" s="17" t="s">
        <v>802</v>
      </c>
      <c r="M255" s="14">
        <v>3</v>
      </c>
      <c r="N255" s="14">
        <v>0</v>
      </c>
      <c r="O255" s="14">
        <v>0</v>
      </c>
      <c r="P255" s="14">
        <v>20</v>
      </c>
      <c r="Q255" s="14">
        <v>80</v>
      </c>
      <c r="R255" s="23" t="s">
        <v>26</v>
      </c>
      <c r="S255" s="14" t="str">
        <f t="shared" si="9"/>
        <v/>
      </c>
      <c r="T255" s="14" t="str">
        <f t="shared" si="10"/>
        <v/>
      </c>
      <c r="U255" s="14" t="str">
        <f t="shared" si="11"/>
        <v/>
      </c>
    </row>
    <row r="256" spans="1:21" ht="104.1" customHeight="1">
      <c r="A256" s="8">
        <v>43</v>
      </c>
      <c r="B256" s="9" t="s">
        <v>37</v>
      </c>
      <c r="C256" s="10" t="s">
        <v>38</v>
      </c>
      <c r="D256" s="10" t="s">
        <v>39</v>
      </c>
      <c r="E256" s="10" t="s">
        <v>82</v>
      </c>
      <c r="F256" s="10" t="s">
        <v>41</v>
      </c>
      <c r="G256" s="10" t="s">
        <v>42</v>
      </c>
      <c r="H256" s="11">
        <v>3</v>
      </c>
      <c r="I256" s="11">
        <v>1</v>
      </c>
      <c r="J256" s="10" t="s">
        <v>803</v>
      </c>
      <c r="K256" s="12" t="s">
        <v>804</v>
      </c>
      <c r="L256" s="17" t="s">
        <v>85</v>
      </c>
      <c r="M256" s="14">
        <v>3</v>
      </c>
      <c r="N256" s="14">
        <v>0</v>
      </c>
      <c r="O256" s="14">
        <v>100</v>
      </c>
      <c r="P256" s="14">
        <v>0</v>
      </c>
      <c r="Q256" s="14">
        <v>0</v>
      </c>
      <c r="R256" s="23" t="s">
        <v>36</v>
      </c>
      <c r="S256" s="14" t="str">
        <f t="shared" si="9"/>
        <v/>
      </c>
      <c r="T256" s="14" t="str">
        <f t="shared" si="10"/>
        <v/>
      </c>
      <c r="U256" s="14" t="str">
        <f t="shared" si="11"/>
        <v/>
      </c>
    </row>
    <row r="257" spans="1:21" ht="104.1" customHeight="1">
      <c r="A257" s="8">
        <v>43</v>
      </c>
      <c r="B257" s="9" t="s">
        <v>46</v>
      </c>
      <c r="C257" s="10" t="s">
        <v>47</v>
      </c>
      <c r="D257" s="10" t="s">
        <v>48</v>
      </c>
      <c r="E257" s="10" t="s">
        <v>156</v>
      </c>
      <c r="F257" s="10" t="s">
        <v>50</v>
      </c>
      <c r="G257" s="10" t="s">
        <v>51</v>
      </c>
      <c r="H257" s="11">
        <v>3</v>
      </c>
      <c r="I257" s="11">
        <v>2</v>
      </c>
      <c r="J257" s="10" t="s">
        <v>805</v>
      </c>
      <c r="K257" s="12" t="s">
        <v>806</v>
      </c>
      <c r="L257" s="17" t="s">
        <v>807</v>
      </c>
      <c r="M257" s="14">
        <v>3</v>
      </c>
      <c r="N257" s="14">
        <v>0</v>
      </c>
      <c r="O257" s="14">
        <v>0</v>
      </c>
      <c r="P257" s="14">
        <v>100</v>
      </c>
      <c r="Q257" s="14">
        <v>0</v>
      </c>
      <c r="R257" s="23" t="s">
        <v>36</v>
      </c>
      <c r="S257" s="14" t="str">
        <f t="shared" si="9"/>
        <v/>
      </c>
      <c r="T257" s="14" t="str">
        <f t="shared" si="10"/>
        <v/>
      </c>
      <c r="U257" s="14" t="str">
        <f t="shared" si="11"/>
        <v/>
      </c>
    </row>
    <row r="258" spans="1:21" ht="92.1" customHeight="1">
      <c r="A258" s="8">
        <v>43</v>
      </c>
      <c r="B258" s="9" t="s">
        <v>55</v>
      </c>
      <c r="C258" s="10" t="s">
        <v>56</v>
      </c>
      <c r="D258" s="10" t="s">
        <v>57</v>
      </c>
      <c r="E258" s="10" t="s">
        <v>58</v>
      </c>
      <c r="F258" s="10" t="s">
        <v>59</v>
      </c>
      <c r="G258" s="10" t="s">
        <v>60</v>
      </c>
      <c r="H258" s="11">
        <v>2</v>
      </c>
      <c r="I258" s="11">
        <v>1</v>
      </c>
      <c r="J258" s="10" t="s">
        <v>808</v>
      </c>
      <c r="K258" s="12" t="s">
        <v>809</v>
      </c>
      <c r="L258" s="17" t="s">
        <v>810</v>
      </c>
      <c r="M258" s="14">
        <v>3</v>
      </c>
      <c r="N258" s="14">
        <v>0</v>
      </c>
      <c r="O258" s="14">
        <v>0</v>
      </c>
      <c r="P258" s="14">
        <v>20</v>
      </c>
      <c r="Q258" s="14">
        <v>80</v>
      </c>
      <c r="R258" s="23" t="s">
        <v>26</v>
      </c>
      <c r="S258" s="14" t="str">
        <f t="shared" si="9"/>
        <v/>
      </c>
      <c r="T258" s="14" t="str">
        <f t="shared" si="10"/>
        <v/>
      </c>
      <c r="U258" s="14" t="str">
        <f t="shared" si="11"/>
        <v/>
      </c>
    </row>
    <row r="259" spans="1:21" ht="68.099999999999994" customHeight="1">
      <c r="A259" s="8">
        <v>43</v>
      </c>
      <c r="B259" s="9" t="s">
        <v>65</v>
      </c>
      <c r="C259" s="10" t="s">
        <v>66</v>
      </c>
      <c r="D259" s="10" t="s">
        <v>67</v>
      </c>
      <c r="E259" s="10" t="s">
        <v>120</v>
      </c>
      <c r="F259" s="10" t="s">
        <v>69</v>
      </c>
      <c r="G259" s="10" t="s">
        <v>70</v>
      </c>
      <c r="H259" s="11">
        <v>1</v>
      </c>
      <c r="I259" s="11">
        <v>1</v>
      </c>
      <c r="J259" s="10" t="s">
        <v>811</v>
      </c>
      <c r="K259" s="12" t="s">
        <v>812</v>
      </c>
      <c r="L259" s="17" t="s">
        <v>813</v>
      </c>
      <c r="M259" s="14">
        <v>3</v>
      </c>
      <c r="N259" s="14">
        <v>0</v>
      </c>
      <c r="O259" s="14">
        <v>0</v>
      </c>
      <c r="P259" s="14" t="s">
        <v>814</v>
      </c>
      <c r="Q259" s="14" t="s">
        <v>670</v>
      </c>
      <c r="R259" s="23" t="s">
        <v>815</v>
      </c>
      <c r="S259" s="14" t="str">
        <f t="shared" ref="S259:S301" si="12">IF(AND(ISNUMBER(N259), ISNUMBER(O259), ISNUMBER(P259), ISNUMBER(Q259)), "", "drop_incomplete")</f>
        <v>drop_incomplete</v>
      </c>
      <c r="T259" s="14" t="str">
        <f t="shared" ref="T259:T301" si="13">IF(M259 &lt;&gt; 3, "drop_wrongPrior", "")</f>
        <v/>
      </c>
      <c r="U259" s="14" t="str">
        <f t="shared" ref="U259:U301" si="14">IF(AND(H259 = 3, R259 &lt;&gt; "Y"), "wrongKnowledge",
    IF(OR(R259 = "uncertain", R259 = "uncertain N"), "wrongKnowledge",
       IF(AND(H259 &lt;&gt; 3, R259 = "Y"), "wrongKnowledge", "")))</f>
        <v>wrongKnowledge</v>
      </c>
    </row>
    <row r="260" spans="1:21" ht="68.099999999999994" customHeight="1">
      <c r="A260" s="8">
        <v>44</v>
      </c>
      <c r="B260" s="9" t="s">
        <v>17</v>
      </c>
      <c r="C260" s="10" t="s">
        <v>18</v>
      </c>
      <c r="D260" s="10" t="s">
        <v>19</v>
      </c>
      <c r="E260" s="10" t="s">
        <v>315</v>
      </c>
      <c r="F260" s="10" t="s">
        <v>21</v>
      </c>
      <c r="G260" s="10" t="s">
        <v>22</v>
      </c>
      <c r="H260" s="11">
        <v>1</v>
      </c>
      <c r="I260" s="11">
        <v>1</v>
      </c>
      <c r="J260" s="10" t="s">
        <v>816</v>
      </c>
      <c r="K260" s="12" t="s">
        <v>817</v>
      </c>
      <c r="L260" s="17" t="s">
        <v>818</v>
      </c>
      <c r="M260" s="14">
        <v>3</v>
      </c>
      <c r="N260" s="14">
        <v>0</v>
      </c>
      <c r="O260" s="14">
        <v>10</v>
      </c>
      <c r="P260" s="14" t="s">
        <v>293</v>
      </c>
      <c r="Q260" s="14" t="s">
        <v>169</v>
      </c>
      <c r="R260" s="23" t="s">
        <v>26</v>
      </c>
      <c r="S260" s="14" t="str">
        <f t="shared" si="12"/>
        <v>drop_incomplete</v>
      </c>
      <c r="T260" s="14" t="str">
        <f t="shared" si="13"/>
        <v/>
      </c>
      <c r="U260" s="14" t="str">
        <f t="shared" si="14"/>
        <v/>
      </c>
    </row>
    <row r="261" spans="1:21" ht="80.099999999999994" customHeight="1">
      <c r="A261" s="8">
        <v>44</v>
      </c>
      <c r="B261" s="9" t="s">
        <v>27</v>
      </c>
      <c r="C261" s="10" t="s">
        <v>28</v>
      </c>
      <c r="D261" s="10" t="s">
        <v>29</v>
      </c>
      <c r="E261" s="10" t="s">
        <v>192</v>
      </c>
      <c r="F261" s="10" t="s">
        <v>31</v>
      </c>
      <c r="G261" s="10" t="s">
        <v>32</v>
      </c>
      <c r="H261" s="11">
        <v>3</v>
      </c>
      <c r="I261" s="11">
        <v>3</v>
      </c>
      <c r="J261" s="10" t="s">
        <v>79</v>
      </c>
      <c r="K261" s="12" t="s">
        <v>819</v>
      </c>
      <c r="L261" s="17" t="s">
        <v>820</v>
      </c>
      <c r="M261" s="14">
        <v>3</v>
      </c>
      <c r="N261" s="14">
        <v>0</v>
      </c>
      <c r="O261" s="14">
        <v>0</v>
      </c>
      <c r="P261" s="14">
        <v>0</v>
      </c>
      <c r="Q261" s="14">
        <v>100</v>
      </c>
      <c r="R261" s="23" t="s">
        <v>36</v>
      </c>
      <c r="S261" s="14" t="str">
        <f t="shared" si="12"/>
        <v/>
      </c>
      <c r="T261" s="14" t="str">
        <f t="shared" si="13"/>
        <v/>
      </c>
      <c r="U261" s="14" t="str">
        <f t="shared" si="14"/>
        <v/>
      </c>
    </row>
    <row r="262" spans="1:21" ht="104.1" customHeight="1">
      <c r="A262" s="8">
        <v>44</v>
      </c>
      <c r="B262" s="9" t="s">
        <v>37</v>
      </c>
      <c r="C262" s="10" t="s">
        <v>38</v>
      </c>
      <c r="D262" s="10" t="s">
        <v>39</v>
      </c>
      <c r="E262" s="10" t="s">
        <v>152</v>
      </c>
      <c r="F262" s="10" t="s">
        <v>41</v>
      </c>
      <c r="G262" s="10" t="s">
        <v>42</v>
      </c>
      <c r="H262" s="11">
        <v>2</v>
      </c>
      <c r="I262" s="11">
        <v>2</v>
      </c>
      <c r="J262" s="10" t="s">
        <v>821</v>
      </c>
      <c r="K262" s="12" t="s">
        <v>822</v>
      </c>
      <c r="L262" s="17" t="s">
        <v>823</v>
      </c>
      <c r="M262" s="14">
        <v>3</v>
      </c>
      <c r="N262" s="14">
        <v>0</v>
      </c>
      <c r="O262" s="14">
        <v>0</v>
      </c>
      <c r="P262" s="14">
        <v>10</v>
      </c>
      <c r="Q262" s="14">
        <v>90</v>
      </c>
      <c r="R262" s="23" t="s">
        <v>815</v>
      </c>
      <c r="S262" s="14" t="str">
        <f t="shared" si="12"/>
        <v/>
      </c>
      <c r="T262" s="14" t="str">
        <f t="shared" si="13"/>
        <v/>
      </c>
      <c r="U262" s="14" t="str">
        <f t="shared" si="14"/>
        <v>wrongKnowledge</v>
      </c>
    </row>
    <row r="263" spans="1:21" ht="92.1" customHeight="1">
      <c r="A263" s="8">
        <v>44</v>
      </c>
      <c r="B263" s="9" t="s">
        <v>46</v>
      </c>
      <c r="C263" s="10" t="s">
        <v>47</v>
      </c>
      <c r="D263" s="10" t="s">
        <v>48</v>
      </c>
      <c r="E263" s="10" t="s">
        <v>86</v>
      </c>
      <c r="F263" s="10" t="s">
        <v>50</v>
      </c>
      <c r="G263" s="10" t="s">
        <v>51</v>
      </c>
      <c r="H263" s="11">
        <v>2</v>
      </c>
      <c r="I263" s="11">
        <v>1</v>
      </c>
      <c r="J263" s="10" t="s">
        <v>824</v>
      </c>
      <c r="K263" s="12" t="s">
        <v>825</v>
      </c>
      <c r="L263" s="17" t="s">
        <v>826</v>
      </c>
      <c r="M263" s="14">
        <v>3</v>
      </c>
      <c r="N263" s="14">
        <v>0</v>
      </c>
      <c r="O263" s="14">
        <v>10</v>
      </c>
      <c r="P263" s="14" t="s">
        <v>498</v>
      </c>
      <c r="Q263" s="14" t="s">
        <v>390</v>
      </c>
      <c r="R263" s="23" t="s">
        <v>26</v>
      </c>
      <c r="S263" s="14" t="str">
        <f t="shared" si="12"/>
        <v>drop_incomplete</v>
      </c>
      <c r="T263" s="14" t="str">
        <f t="shared" si="13"/>
        <v/>
      </c>
      <c r="U263" s="14" t="str">
        <f t="shared" si="14"/>
        <v/>
      </c>
    </row>
    <row r="264" spans="1:21" ht="44.1" customHeight="1">
      <c r="A264" s="8">
        <v>44</v>
      </c>
      <c r="B264" s="9" t="s">
        <v>55</v>
      </c>
      <c r="C264" s="10" t="s">
        <v>56</v>
      </c>
      <c r="D264" s="10" t="s">
        <v>57</v>
      </c>
      <c r="E264" s="10" t="s">
        <v>160</v>
      </c>
      <c r="F264" s="10" t="s">
        <v>59</v>
      </c>
      <c r="G264" s="10" t="s">
        <v>60</v>
      </c>
      <c r="H264" s="11">
        <v>3</v>
      </c>
      <c r="I264" s="11">
        <v>1</v>
      </c>
      <c r="J264" s="10" t="s">
        <v>827</v>
      </c>
      <c r="K264" s="12" t="s">
        <v>828</v>
      </c>
      <c r="L264" s="17" t="s">
        <v>829</v>
      </c>
      <c r="M264" s="14" t="s">
        <v>64</v>
      </c>
      <c r="N264" s="14">
        <v>0</v>
      </c>
      <c r="O264" s="14">
        <v>100</v>
      </c>
      <c r="P264" s="14">
        <v>0</v>
      </c>
      <c r="Q264" s="14">
        <v>0</v>
      </c>
      <c r="R264" s="23" t="s">
        <v>36</v>
      </c>
      <c r="S264" s="14" t="str">
        <f t="shared" si="12"/>
        <v/>
      </c>
      <c r="T264" s="14" t="str">
        <f t="shared" si="13"/>
        <v>drop_wrongPrior</v>
      </c>
      <c r="U264" s="14" t="str">
        <f t="shared" si="14"/>
        <v/>
      </c>
    </row>
    <row r="265" spans="1:21" ht="80.099999999999994" customHeight="1">
      <c r="A265" s="8">
        <v>44</v>
      </c>
      <c r="B265" s="9" t="s">
        <v>65</v>
      </c>
      <c r="C265" s="10" t="s">
        <v>66</v>
      </c>
      <c r="D265" s="10" t="s">
        <v>67</v>
      </c>
      <c r="E265" s="10" t="s">
        <v>142</v>
      </c>
      <c r="F265" s="10" t="s">
        <v>69</v>
      </c>
      <c r="G265" s="10" t="s">
        <v>70</v>
      </c>
      <c r="H265" s="11">
        <v>3</v>
      </c>
      <c r="I265" s="11">
        <v>2</v>
      </c>
      <c r="J265" s="10" t="s">
        <v>830</v>
      </c>
      <c r="K265" s="12" t="s">
        <v>831</v>
      </c>
      <c r="L265" s="17" t="s">
        <v>832</v>
      </c>
      <c r="M265" s="14">
        <v>3</v>
      </c>
      <c r="N265" s="14">
        <v>0</v>
      </c>
      <c r="O265" s="14">
        <v>0</v>
      </c>
      <c r="P265" s="14">
        <v>100</v>
      </c>
      <c r="Q265" s="14">
        <v>0</v>
      </c>
      <c r="R265" s="23" t="s">
        <v>36</v>
      </c>
      <c r="S265" s="14" t="str">
        <f t="shared" si="12"/>
        <v/>
      </c>
      <c r="T265" s="14" t="str">
        <f t="shared" si="13"/>
        <v/>
      </c>
      <c r="U265" s="14" t="str">
        <f t="shared" si="14"/>
        <v/>
      </c>
    </row>
    <row r="266" spans="1:21" ht="92.1" customHeight="1">
      <c r="A266" s="8">
        <v>45</v>
      </c>
      <c r="B266" s="9" t="s">
        <v>17</v>
      </c>
      <c r="C266" s="10" t="s">
        <v>18</v>
      </c>
      <c r="D266" s="10" t="s">
        <v>19</v>
      </c>
      <c r="E266" s="10" t="s">
        <v>242</v>
      </c>
      <c r="F266" s="10" t="s">
        <v>21</v>
      </c>
      <c r="G266" s="10" t="s">
        <v>22</v>
      </c>
      <c r="H266" s="11">
        <v>3</v>
      </c>
      <c r="I266" s="11">
        <v>2</v>
      </c>
      <c r="J266" s="10" t="s">
        <v>833</v>
      </c>
      <c r="K266" s="12" t="s">
        <v>834</v>
      </c>
      <c r="L266" s="17" t="s">
        <v>835</v>
      </c>
      <c r="M266" s="14">
        <v>3</v>
      </c>
      <c r="N266" s="14">
        <v>0</v>
      </c>
      <c r="O266" s="14">
        <v>0</v>
      </c>
      <c r="P266" s="14">
        <v>100</v>
      </c>
      <c r="Q266" s="14">
        <v>0</v>
      </c>
      <c r="R266" s="23" t="s">
        <v>36</v>
      </c>
      <c r="S266" s="14" t="str">
        <f t="shared" si="12"/>
        <v/>
      </c>
      <c r="T266" s="14" t="str">
        <f t="shared" si="13"/>
        <v/>
      </c>
      <c r="U266" s="14" t="str">
        <f t="shared" si="14"/>
        <v/>
      </c>
    </row>
    <row r="267" spans="1:21" ht="80.099999999999994" customHeight="1">
      <c r="A267" s="8">
        <v>45</v>
      </c>
      <c r="B267" s="9" t="s">
        <v>27</v>
      </c>
      <c r="C267" s="10" t="s">
        <v>28</v>
      </c>
      <c r="D267" s="10" t="s">
        <v>29</v>
      </c>
      <c r="E267" s="10" t="s">
        <v>148</v>
      </c>
      <c r="F267" s="10" t="s">
        <v>31</v>
      </c>
      <c r="G267" s="10" t="s">
        <v>32</v>
      </c>
      <c r="H267" s="11">
        <v>1</v>
      </c>
      <c r="I267" s="11">
        <v>1</v>
      </c>
      <c r="J267" s="10" t="s">
        <v>105</v>
      </c>
      <c r="K267" s="12" t="s">
        <v>836</v>
      </c>
      <c r="L267" s="17" t="s">
        <v>837</v>
      </c>
      <c r="M267" s="14">
        <v>3</v>
      </c>
      <c r="N267" s="14">
        <v>0</v>
      </c>
      <c r="O267" s="14">
        <v>5</v>
      </c>
      <c r="P267" s="14">
        <v>35</v>
      </c>
      <c r="Q267" s="14">
        <v>60</v>
      </c>
      <c r="R267" s="23" t="s">
        <v>26</v>
      </c>
      <c r="S267" s="14" t="str">
        <f t="shared" si="12"/>
        <v/>
      </c>
      <c r="T267" s="14" t="str">
        <f t="shared" si="13"/>
        <v/>
      </c>
      <c r="U267" s="14" t="str">
        <f t="shared" si="14"/>
        <v/>
      </c>
    </row>
    <row r="268" spans="1:21" ht="20.100000000000001" customHeight="1">
      <c r="A268" s="8">
        <v>45</v>
      </c>
      <c r="B268" s="9" t="s">
        <v>37</v>
      </c>
      <c r="C268" s="10" t="s">
        <v>38</v>
      </c>
      <c r="D268" s="10" t="s">
        <v>39</v>
      </c>
      <c r="E268" s="10" t="s">
        <v>82</v>
      </c>
      <c r="F268" s="10" t="s">
        <v>41</v>
      </c>
      <c r="G268" s="10" t="s">
        <v>42</v>
      </c>
      <c r="H268" s="11">
        <v>3</v>
      </c>
      <c r="I268" s="11">
        <v>1</v>
      </c>
      <c r="J268" s="10" t="s">
        <v>720</v>
      </c>
      <c r="K268" s="10" t="s">
        <v>838</v>
      </c>
      <c r="L268" s="17" t="s">
        <v>85</v>
      </c>
      <c r="M268" s="14">
        <v>3</v>
      </c>
      <c r="N268" s="14">
        <v>0</v>
      </c>
      <c r="O268" s="14">
        <v>100</v>
      </c>
      <c r="P268" s="14">
        <v>0</v>
      </c>
      <c r="Q268" s="14">
        <v>0</v>
      </c>
      <c r="R268" s="23" t="s">
        <v>36</v>
      </c>
      <c r="S268" s="14" t="str">
        <f t="shared" si="12"/>
        <v/>
      </c>
      <c r="T268" s="14" t="str">
        <f t="shared" si="13"/>
        <v/>
      </c>
      <c r="U268" s="14" t="str">
        <f t="shared" si="14"/>
        <v/>
      </c>
    </row>
    <row r="269" spans="1:21" ht="68.099999999999994" customHeight="1">
      <c r="A269" s="8">
        <v>45</v>
      </c>
      <c r="B269" s="9" t="s">
        <v>46</v>
      </c>
      <c r="C269" s="10" t="s">
        <v>47</v>
      </c>
      <c r="D269" s="10" t="s">
        <v>48</v>
      </c>
      <c r="E269" s="10" t="s">
        <v>86</v>
      </c>
      <c r="F269" s="10" t="s">
        <v>50</v>
      </c>
      <c r="G269" s="10" t="s">
        <v>51</v>
      </c>
      <c r="H269" s="11">
        <v>2</v>
      </c>
      <c r="I269" s="11">
        <v>1</v>
      </c>
      <c r="J269" s="10" t="s">
        <v>839</v>
      </c>
      <c r="K269" s="12" t="s">
        <v>840</v>
      </c>
      <c r="L269" s="17" t="s">
        <v>841</v>
      </c>
      <c r="M269" s="14">
        <v>3</v>
      </c>
      <c r="N269" s="14">
        <v>0</v>
      </c>
      <c r="O269" s="14">
        <v>10</v>
      </c>
      <c r="P269" s="14" t="s">
        <v>293</v>
      </c>
      <c r="Q269" s="14" t="s">
        <v>169</v>
      </c>
      <c r="R269" s="23" t="s">
        <v>26</v>
      </c>
      <c r="S269" s="14" t="str">
        <f t="shared" si="12"/>
        <v>drop_incomplete</v>
      </c>
      <c r="T269" s="14" t="str">
        <f t="shared" si="13"/>
        <v/>
      </c>
      <c r="U269" s="14" t="str">
        <f t="shared" si="14"/>
        <v/>
      </c>
    </row>
    <row r="270" spans="1:21" ht="128.1" customHeight="1">
      <c r="A270" s="8">
        <v>45</v>
      </c>
      <c r="B270" s="9" t="s">
        <v>55</v>
      </c>
      <c r="C270" s="10" t="s">
        <v>56</v>
      </c>
      <c r="D270" s="10" t="s">
        <v>57</v>
      </c>
      <c r="E270" s="10" t="s">
        <v>377</v>
      </c>
      <c r="F270" s="10" t="s">
        <v>59</v>
      </c>
      <c r="G270" s="10" t="s">
        <v>60</v>
      </c>
      <c r="H270" s="11">
        <v>2</v>
      </c>
      <c r="I270" s="11">
        <v>2</v>
      </c>
      <c r="J270" s="10" t="s">
        <v>842</v>
      </c>
      <c r="K270" s="12" t="s">
        <v>843</v>
      </c>
      <c r="L270" s="17" t="s">
        <v>844</v>
      </c>
      <c r="M270" s="14">
        <v>3</v>
      </c>
      <c r="N270" s="14">
        <v>0</v>
      </c>
      <c r="O270" s="14">
        <v>0</v>
      </c>
      <c r="P270" s="14">
        <v>20</v>
      </c>
      <c r="Q270" s="14">
        <v>80</v>
      </c>
      <c r="R270" s="23" t="s">
        <v>26</v>
      </c>
      <c r="S270" s="14" t="str">
        <f t="shared" si="12"/>
        <v/>
      </c>
      <c r="T270" s="14" t="str">
        <f t="shared" si="13"/>
        <v/>
      </c>
      <c r="U270" s="14" t="str">
        <f t="shared" si="14"/>
        <v/>
      </c>
    </row>
    <row r="271" spans="1:21" ht="80.099999999999994" customHeight="1">
      <c r="A271" s="8">
        <v>45</v>
      </c>
      <c r="B271" s="9" t="s">
        <v>65</v>
      </c>
      <c r="C271" s="10" t="s">
        <v>66</v>
      </c>
      <c r="D271" s="10" t="s">
        <v>67</v>
      </c>
      <c r="E271" s="10" t="s">
        <v>68</v>
      </c>
      <c r="F271" s="10" t="s">
        <v>69</v>
      </c>
      <c r="G271" s="10" t="s">
        <v>70</v>
      </c>
      <c r="H271" s="11">
        <v>3</v>
      </c>
      <c r="I271" s="11">
        <v>3</v>
      </c>
      <c r="J271" s="10" t="s">
        <v>186</v>
      </c>
      <c r="K271" s="12" t="s">
        <v>845</v>
      </c>
      <c r="L271" s="17" t="s">
        <v>846</v>
      </c>
      <c r="M271" s="14">
        <v>3</v>
      </c>
      <c r="N271" s="14">
        <v>0</v>
      </c>
      <c r="O271" s="14">
        <v>0</v>
      </c>
      <c r="P271" s="14">
        <v>0</v>
      </c>
      <c r="Q271" s="14">
        <v>100</v>
      </c>
      <c r="R271" s="23" t="s">
        <v>36</v>
      </c>
      <c r="S271" s="14" t="str">
        <f t="shared" si="12"/>
        <v/>
      </c>
      <c r="T271" s="14" t="str">
        <f t="shared" si="13"/>
        <v/>
      </c>
      <c r="U271" s="14" t="str">
        <f t="shared" si="14"/>
        <v/>
      </c>
    </row>
    <row r="272" spans="1:21" ht="104.1" customHeight="1">
      <c r="A272" s="8">
        <v>46</v>
      </c>
      <c r="B272" s="9" t="s">
        <v>17</v>
      </c>
      <c r="C272" s="10" t="s">
        <v>18</v>
      </c>
      <c r="D272" s="10" t="s">
        <v>19</v>
      </c>
      <c r="E272" s="10" t="s">
        <v>315</v>
      </c>
      <c r="F272" s="10" t="s">
        <v>21</v>
      </c>
      <c r="G272" s="10" t="s">
        <v>22</v>
      </c>
      <c r="H272" s="11">
        <v>1</v>
      </c>
      <c r="I272" s="11">
        <v>1</v>
      </c>
      <c r="J272" s="10" t="s">
        <v>847</v>
      </c>
      <c r="K272" s="12" t="s">
        <v>848</v>
      </c>
      <c r="L272" s="17" t="s">
        <v>849</v>
      </c>
      <c r="M272" s="14">
        <v>3</v>
      </c>
      <c r="N272" s="14">
        <v>0</v>
      </c>
      <c r="O272" s="14">
        <v>5</v>
      </c>
      <c r="P272" s="14">
        <v>35</v>
      </c>
      <c r="Q272" s="14">
        <v>60</v>
      </c>
      <c r="R272" s="23" t="s">
        <v>26</v>
      </c>
      <c r="S272" s="14" t="str">
        <f t="shared" si="12"/>
        <v/>
      </c>
      <c r="T272" s="14" t="str">
        <f t="shared" si="13"/>
        <v/>
      </c>
      <c r="U272" s="14" t="str">
        <f t="shared" si="14"/>
        <v/>
      </c>
    </row>
    <row r="273" spans="1:21" ht="92.1" customHeight="1">
      <c r="A273" s="8">
        <v>46</v>
      </c>
      <c r="B273" s="9" t="s">
        <v>27</v>
      </c>
      <c r="C273" s="10" t="s">
        <v>28</v>
      </c>
      <c r="D273" s="10" t="s">
        <v>29</v>
      </c>
      <c r="E273" s="10" t="s">
        <v>30</v>
      </c>
      <c r="F273" s="10" t="s">
        <v>31</v>
      </c>
      <c r="G273" s="10" t="s">
        <v>32</v>
      </c>
      <c r="H273" s="11">
        <v>3</v>
      </c>
      <c r="I273" s="11">
        <v>1</v>
      </c>
      <c r="J273" s="10" t="s">
        <v>173</v>
      </c>
      <c r="K273" s="12" t="s">
        <v>850</v>
      </c>
      <c r="L273" s="17" t="s">
        <v>851</v>
      </c>
      <c r="M273" s="14">
        <v>3</v>
      </c>
      <c r="N273" s="14">
        <v>0</v>
      </c>
      <c r="O273" s="14">
        <v>100</v>
      </c>
      <c r="P273" s="14">
        <v>0</v>
      </c>
      <c r="Q273" s="14">
        <v>0</v>
      </c>
      <c r="R273" s="23" t="s">
        <v>36</v>
      </c>
      <c r="S273" s="14" t="str">
        <f t="shared" si="12"/>
        <v/>
      </c>
      <c r="T273" s="14" t="str">
        <f t="shared" si="13"/>
        <v/>
      </c>
      <c r="U273" s="14" t="str">
        <f t="shared" si="14"/>
        <v/>
      </c>
    </row>
    <row r="274" spans="1:21" ht="104.1" customHeight="1">
      <c r="A274" s="8">
        <v>46</v>
      </c>
      <c r="B274" s="9" t="s">
        <v>37</v>
      </c>
      <c r="C274" s="10" t="s">
        <v>38</v>
      </c>
      <c r="D274" s="10" t="s">
        <v>39</v>
      </c>
      <c r="E274" s="10" t="s">
        <v>176</v>
      </c>
      <c r="F274" s="10" t="s">
        <v>41</v>
      </c>
      <c r="G274" s="10" t="s">
        <v>42</v>
      </c>
      <c r="H274" s="11">
        <v>2</v>
      </c>
      <c r="I274" s="11">
        <v>1</v>
      </c>
      <c r="J274" s="10" t="s">
        <v>852</v>
      </c>
      <c r="K274" s="12" t="s">
        <v>853</v>
      </c>
      <c r="L274" s="17" t="s">
        <v>854</v>
      </c>
      <c r="M274" s="14">
        <v>3</v>
      </c>
      <c r="N274" s="14">
        <v>0</v>
      </c>
      <c r="O274" s="14">
        <v>10</v>
      </c>
      <c r="P274" s="14">
        <v>20</v>
      </c>
      <c r="Q274" s="14">
        <v>70</v>
      </c>
      <c r="R274" s="23" t="s">
        <v>26</v>
      </c>
      <c r="S274" s="14" t="str">
        <f t="shared" si="12"/>
        <v/>
      </c>
      <c r="T274" s="14" t="str">
        <f t="shared" si="13"/>
        <v/>
      </c>
      <c r="U274" s="14" t="str">
        <f t="shared" si="14"/>
        <v/>
      </c>
    </row>
    <row r="275" spans="1:21" ht="92.1" customHeight="1">
      <c r="A275" s="8">
        <v>46</v>
      </c>
      <c r="B275" s="9" t="s">
        <v>46</v>
      </c>
      <c r="C275" s="10" t="s">
        <v>47</v>
      </c>
      <c r="D275" s="10" t="s">
        <v>48</v>
      </c>
      <c r="E275" s="10" t="s">
        <v>286</v>
      </c>
      <c r="F275" s="10" t="s">
        <v>50</v>
      </c>
      <c r="G275" s="10" t="s">
        <v>51</v>
      </c>
      <c r="H275" s="11">
        <v>2</v>
      </c>
      <c r="I275" s="11">
        <v>2</v>
      </c>
      <c r="J275" s="10" t="s">
        <v>855</v>
      </c>
      <c r="K275" s="12" t="s">
        <v>856</v>
      </c>
      <c r="L275" s="17" t="s">
        <v>857</v>
      </c>
      <c r="M275" s="14">
        <v>3</v>
      </c>
      <c r="N275" s="14">
        <v>0</v>
      </c>
      <c r="O275" s="14">
        <v>0</v>
      </c>
      <c r="P275" s="14" t="s">
        <v>509</v>
      </c>
      <c r="Q275" s="14" t="s">
        <v>306</v>
      </c>
      <c r="R275" s="23" t="s">
        <v>26</v>
      </c>
      <c r="S275" s="14" t="str">
        <f t="shared" si="12"/>
        <v>drop_incomplete</v>
      </c>
      <c r="T275" s="14" t="str">
        <f t="shared" si="13"/>
        <v/>
      </c>
      <c r="U275" s="14" t="str">
        <f t="shared" si="14"/>
        <v/>
      </c>
    </row>
    <row r="276" spans="1:21" ht="80.099999999999994" customHeight="1">
      <c r="A276" s="8">
        <v>46</v>
      </c>
      <c r="B276" s="9" t="s">
        <v>55</v>
      </c>
      <c r="C276" s="10" t="s">
        <v>56</v>
      </c>
      <c r="D276" s="10" t="s">
        <v>57</v>
      </c>
      <c r="E276" s="10" t="s">
        <v>139</v>
      </c>
      <c r="F276" s="10" t="s">
        <v>59</v>
      </c>
      <c r="G276" s="10" t="s">
        <v>60</v>
      </c>
      <c r="H276" s="11">
        <v>3</v>
      </c>
      <c r="I276" s="11">
        <v>3</v>
      </c>
      <c r="J276" s="10" t="s">
        <v>858</v>
      </c>
      <c r="K276" s="12" t="s">
        <v>859</v>
      </c>
      <c r="L276" s="17" t="s">
        <v>860</v>
      </c>
      <c r="M276" s="14">
        <v>3</v>
      </c>
      <c r="N276" s="14">
        <v>0</v>
      </c>
      <c r="O276" s="14">
        <v>0</v>
      </c>
      <c r="P276" s="14">
        <v>0</v>
      </c>
      <c r="Q276" s="14">
        <v>100</v>
      </c>
      <c r="R276" s="23" t="s">
        <v>36</v>
      </c>
      <c r="S276" s="14" t="str">
        <f t="shared" si="12"/>
        <v/>
      </c>
      <c r="T276" s="14" t="str">
        <f t="shared" si="13"/>
        <v/>
      </c>
      <c r="U276" s="14" t="str">
        <f t="shared" si="14"/>
        <v/>
      </c>
    </row>
    <row r="277" spans="1:21" ht="80.099999999999994" customHeight="1">
      <c r="A277" s="8">
        <v>46</v>
      </c>
      <c r="B277" s="9" t="s">
        <v>65</v>
      </c>
      <c r="C277" s="10" t="s">
        <v>66</v>
      </c>
      <c r="D277" s="10" t="s">
        <v>67</v>
      </c>
      <c r="E277" s="10" t="s">
        <v>142</v>
      </c>
      <c r="F277" s="10" t="s">
        <v>69</v>
      </c>
      <c r="G277" s="10" t="s">
        <v>70</v>
      </c>
      <c r="H277" s="11">
        <v>3</v>
      </c>
      <c r="I277" s="11">
        <v>2</v>
      </c>
      <c r="J277" s="10" t="s">
        <v>861</v>
      </c>
      <c r="K277" s="12" t="s">
        <v>862</v>
      </c>
      <c r="L277" s="17" t="s">
        <v>863</v>
      </c>
      <c r="M277" s="14">
        <v>3</v>
      </c>
      <c r="N277" s="14">
        <v>0</v>
      </c>
      <c r="O277" s="14">
        <v>0</v>
      </c>
      <c r="P277" s="14">
        <v>100</v>
      </c>
      <c r="Q277" s="14">
        <v>0</v>
      </c>
      <c r="R277" s="23" t="s">
        <v>36</v>
      </c>
      <c r="S277" s="14" t="str">
        <f t="shared" si="12"/>
        <v/>
      </c>
      <c r="T277" s="14" t="str">
        <f t="shared" si="13"/>
        <v/>
      </c>
      <c r="U277" s="14" t="str">
        <f t="shared" si="14"/>
        <v/>
      </c>
    </row>
    <row r="278" spans="1:21" ht="80.099999999999994" customHeight="1">
      <c r="A278" s="8">
        <v>47</v>
      </c>
      <c r="B278" s="9" t="s">
        <v>17</v>
      </c>
      <c r="C278" s="10" t="s">
        <v>18</v>
      </c>
      <c r="D278" s="10" t="s">
        <v>19</v>
      </c>
      <c r="E278" s="10" t="s">
        <v>74</v>
      </c>
      <c r="F278" s="10" t="s">
        <v>21</v>
      </c>
      <c r="G278" s="10" t="s">
        <v>22</v>
      </c>
      <c r="H278" s="11">
        <v>3</v>
      </c>
      <c r="I278" s="11">
        <v>3</v>
      </c>
      <c r="J278" s="10" t="s">
        <v>864</v>
      </c>
      <c r="K278" s="12" t="s">
        <v>865</v>
      </c>
      <c r="L278" s="17" t="s">
        <v>866</v>
      </c>
      <c r="M278" s="14">
        <v>3</v>
      </c>
      <c r="N278" s="14">
        <v>0</v>
      </c>
      <c r="O278" s="14">
        <v>0</v>
      </c>
      <c r="P278" s="14">
        <v>0</v>
      </c>
      <c r="Q278" s="14">
        <v>100</v>
      </c>
      <c r="R278" s="23" t="s">
        <v>36</v>
      </c>
      <c r="S278" s="14" t="str">
        <f t="shared" si="12"/>
        <v/>
      </c>
      <c r="T278" s="14" t="str">
        <f t="shared" si="13"/>
        <v/>
      </c>
      <c r="U278" s="14" t="str">
        <f t="shared" si="14"/>
        <v/>
      </c>
    </row>
    <row r="279" spans="1:21" ht="80.099999999999994" customHeight="1">
      <c r="A279" s="8">
        <v>47</v>
      </c>
      <c r="B279" s="9" t="s">
        <v>27</v>
      </c>
      <c r="C279" s="10" t="s">
        <v>28</v>
      </c>
      <c r="D279" s="10" t="s">
        <v>29</v>
      </c>
      <c r="E279" s="10" t="s">
        <v>261</v>
      </c>
      <c r="F279" s="10" t="s">
        <v>31</v>
      </c>
      <c r="G279" s="10" t="s">
        <v>32</v>
      </c>
      <c r="H279" s="11">
        <v>2</v>
      </c>
      <c r="I279" s="11">
        <v>1</v>
      </c>
      <c r="J279" s="10" t="s">
        <v>867</v>
      </c>
      <c r="K279" s="12" t="s">
        <v>868</v>
      </c>
      <c r="L279" s="17" t="s">
        <v>869</v>
      </c>
      <c r="M279" s="14">
        <v>3</v>
      </c>
      <c r="N279" s="14">
        <v>0</v>
      </c>
      <c r="O279" s="14">
        <v>5</v>
      </c>
      <c r="P279" s="14" t="s">
        <v>64</v>
      </c>
      <c r="Q279" s="14" t="s">
        <v>64</v>
      </c>
      <c r="R279" s="23" t="s">
        <v>26</v>
      </c>
      <c r="S279" s="14" t="str">
        <f t="shared" si="12"/>
        <v>drop_incomplete</v>
      </c>
      <c r="T279" s="14" t="str">
        <f t="shared" si="13"/>
        <v/>
      </c>
      <c r="U279" s="14" t="str">
        <f t="shared" si="14"/>
        <v/>
      </c>
    </row>
    <row r="280" spans="1:21" ht="44.1" customHeight="1">
      <c r="A280" s="8">
        <v>47</v>
      </c>
      <c r="B280" s="9" t="s">
        <v>37</v>
      </c>
      <c r="C280" s="10" t="s">
        <v>38</v>
      </c>
      <c r="D280" s="10" t="s">
        <v>39</v>
      </c>
      <c r="E280" s="10" t="s">
        <v>40</v>
      </c>
      <c r="F280" s="10" t="s">
        <v>41</v>
      </c>
      <c r="G280" s="10" t="s">
        <v>42</v>
      </c>
      <c r="H280" s="11">
        <v>3</v>
      </c>
      <c r="I280" s="11">
        <v>2</v>
      </c>
      <c r="J280" s="10" t="s">
        <v>870</v>
      </c>
      <c r="K280" s="12" t="s">
        <v>871</v>
      </c>
      <c r="L280" s="17" t="s">
        <v>872</v>
      </c>
      <c r="M280" s="14">
        <v>3</v>
      </c>
      <c r="N280" s="14">
        <v>0</v>
      </c>
      <c r="O280" s="14">
        <v>0</v>
      </c>
      <c r="P280" s="14">
        <v>100</v>
      </c>
      <c r="Q280" s="14">
        <v>0</v>
      </c>
      <c r="R280" s="23" t="s">
        <v>36</v>
      </c>
      <c r="S280" s="14" t="str">
        <f t="shared" si="12"/>
        <v/>
      </c>
      <c r="T280" s="14" t="str">
        <f t="shared" si="13"/>
        <v/>
      </c>
      <c r="U280" s="14" t="str">
        <f t="shared" si="14"/>
        <v/>
      </c>
    </row>
    <row r="281" spans="1:21" ht="80.099999999999994" customHeight="1">
      <c r="A281" s="8">
        <v>47</v>
      </c>
      <c r="B281" s="9" t="s">
        <v>46</v>
      </c>
      <c r="C281" s="10" t="s">
        <v>47</v>
      </c>
      <c r="D281" s="10" t="s">
        <v>48</v>
      </c>
      <c r="E281" s="10" t="s">
        <v>49</v>
      </c>
      <c r="F281" s="10" t="s">
        <v>50</v>
      </c>
      <c r="G281" s="10" t="s">
        <v>51</v>
      </c>
      <c r="H281" s="11">
        <v>1</v>
      </c>
      <c r="I281" s="11">
        <v>1</v>
      </c>
      <c r="J281" s="10" t="s">
        <v>873</v>
      </c>
      <c r="K281" s="12" t="s">
        <v>874</v>
      </c>
      <c r="L281" s="17" t="s">
        <v>875</v>
      </c>
      <c r="M281" s="14">
        <v>3</v>
      </c>
      <c r="N281" s="14">
        <v>0</v>
      </c>
      <c r="O281" s="14">
        <v>5</v>
      </c>
      <c r="P281" s="14">
        <v>15</v>
      </c>
      <c r="Q281" s="14">
        <v>80</v>
      </c>
      <c r="R281" s="23" t="s">
        <v>26</v>
      </c>
      <c r="S281" s="14" t="str">
        <f t="shared" si="12"/>
        <v/>
      </c>
      <c r="T281" s="14" t="str">
        <f t="shared" si="13"/>
        <v/>
      </c>
      <c r="U281" s="14" t="str">
        <f t="shared" si="14"/>
        <v/>
      </c>
    </row>
    <row r="282" spans="1:21" ht="80.099999999999994" customHeight="1">
      <c r="A282" s="8">
        <v>47</v>
      </c>
      <c r="B282" s="9" t="s">
        <v>55</v>
      </c>
      <c r="C282" s="10" t="s">
        <v>56</v>
      </c>
      <c r="D282" s="10" t="s">
        <v>57</v>
      </c>
      <c r="E282" s="10" t="s">
        <v>160</v>
      </c>
      <c r="F282" s="10" t="s">
        <v>59</v>
      </c>
      <c r="G282" s="10" t="s">
        <v>60</v>
      </c>
      <c r="H282" s="11">
        <v>3</v>
      </c>
      <c r="I282" s="11">
        <v>1</v>
      </c>
      <c r="J282" s="10" t="s">
        <v>876</v>
      </c>
      <c r="K282" s="12" t="s">
        <v>877</v>
      </c>
      <c r="L282" s="17" t="s">
        <v>878</v>
      </c>
      <c r="M282" s="14">
        <v>3</v>
      </c>
      <c r="N282" s="14">
        <v>0</v>
      </c>
      <c r="O282" s="14">
        <v>100</v>
      </c>
      <c r="P282" s="14">
        <v>0</v>
      </c>
      <c r="Q282" s="14">
        <v>0</v>
      </c>
      <c r="R282" s="23" t="s">
        <v>36</v>
      </c>
      <c r="S282" s="14" t="str">
        <f t="shared" si="12"/>
        <v/>
      </c>
      <c r="T282" s="14" t="str">
        <f t="shared" si="13"/>
        <v/>
      </c>
      <c r="U282" s="14" t="str">
        <f t="shared" si="14"/>
        <v/>
      </c>
    </row>
    <row r="283" spans="1:21" ht="44.1" customHeight="1">
      <c r="A283" s="8">
        <v>47</v>
      </c>
      <c r="B283" s="9" t="s">
        <v>65</v>
      </c>
      <c r="C283" s="10" t="s">
        <v>66</v>
      </c>
      <c r="D283" s="10" t="s">
        <v>67</v>
      </c>
      <c r="E283" s="10" t="s">
        <v>96</v>
      </c>
      <c r="F283" s="10" t="s">
        <v>69</v>
      </c>
      <c r="G283" s="10" t="s">
        <v>70</v>
      </c>
      <c r="H283" s="11">
        <v>2</v>
      </c>
      <c r="I283" s="11">
        <v>2</v>
      </c>
      <c r="J283" s="10" t="s">
        <v>879</v>
      </c>
      <c r="K283" s="12" t="s">
        <v>880</v>
      </c>
      <c r="L283" s="17" t="s">
        <v>881</v>
      </c>
      <c r="M283" s="14">
        <v>3</v>
      </c>
      <c r="N283" s="14">
        <v>0</v>
      </c>
      <c r="O283" s="14">
        <v>0</v>
      </c>
      <c r="P283" s="14">
        <v>20</v>
      </c>
      <c r="Q283" s="14">
        <v>80</v>
      </c>
      <c r="R283" s="23" t="s">
        <v>26</v>
      </c>
      <c r="S283" s="14" t="str">
        <f t="shared" si="12"/>
        <v/>
      </c>
      <c r="T283" s="14" t="str">
        <f t="shared" si="13"/>
        <v/>
      </c>
      <c r="U283" s="14" t="str">
        <f t="shared" si="14"/>
        <v/>
      </c>
    </row>
    <row r="284" spans="1:21" ht="104.1" customHeight="1">
      <c r="A284" s="8">
        <v>48</v>
      </c>
      <c r="B284" s="9" t="s">
        <v>17</v>
      </c>
      <c r="C284" s="10" t="s">
        <v>18</v>
      </c>
      <c r="D284" s="10" t="s">
        <v>19</v>
      </c>
      <c r="E284" s="10" t="s">
        <v>20</v>
      </c>
      <c r="F284" s="10" t="s">
        <v>21</v>
      </c>
      <c r="G284" s="10" t="s">
        <v>22</v>
      </c>
      <c r="H284" s="11">
        <v>2</v>
      </c>
      <c r="I284" s="11">
        <v>2</v>
      </c>
      <c r="J284" s="10" t="s">
        <v>75</v>
      </c>
      <c r="K284" s="12" t="s">
        <v>882</v>
      </c>
      <c r="L284" s="17" t="s">
        <v>883</v>
      </c>
      <c r="M284" s="14">
        <v>3</v>
      </c>
      <c r="N284" s="14">
        <v>0</v>
      </c>
      <c r="O284" s="14">
        <v>0</v>
      </c>
      <c r="P284" s="14">
        <v>20</v>
      </c>
      <c r="Q284" s="14">
        <v>80</v>
      </c>
      <c r="R284" s="23" t="s">
        <v>26</v>
      </c>
      <c r="S284" s="14" t="str">
        <f t="shared" si="12"/>
        <v/>
      </c>
      <c r="T284" s="14" t="str">
        <f t="shared" si="13"/>
        <v/>
      </c>
      <c r="U284" s="14" t="str">
        <f t="shared" si="14"/>
        <v/>
      </c>
    </row>
    <row r="285" spans="1:21" ht="104.1" customHeight="1">
      <c r="A285" s="8">
        <v>48</v>
      </c>
      <c r="B285" s="9" t="s">
        <v>27</v>
      </c>
      <c r="C285" s="10" t="s">
        <v>28</v>
      </c>
      <c r="D285" s="10" t="s">
        <v>29</v>
      </c>
      <c r="E285" s="10" t="s">
        <v>30</v>
      </c>
      <c r="F285" s="10" t="s">
        <v>31</v>
      </c>
      <c r="G285" s="10" t="s">
        <v>32</v>
      </c>
      <c r="H285" s="11">
        <v>3</v>
      </c>
      <c r="I285" s="11">
        <v>1</v>
      </c>
      <c r="J285" s="10" t="s">
        <v>33</v>
      </c>
      <c r="K285" s="12" t="s">
        <v>884</v>
      </c>
      <c r="L285" s="17" t="s">
        <v>885</v>
      </c>
      <c r="M285" s="14">
        <v>3</v>
      </c>
      <c r="N285" s="14">
        <v>0</v>
      </c>
      <c r="O285" s="14">
        <v>100</v>
      </c>
      <c r="P285" s="14">
        <v>0</v>
      </c>
      <c r="Q285" s="14">
        <v>0</v>
      </c>
      <c r="R285" s="23" t="s">
        <v>36</v>
      </c>
      <c r="S285" s="14" t="str">
        <f t="shared" si="12"/>
        <v/>
      </c>
      <c r="T285" s="14" t="str">
        <f t="shared" si="13"/>
        <v/>
      </c>
      <c r="U285" s="14" t="str">
        <f t="shared" si="14"/>
        <v/>
      </c>
    </row>
    <row r="286" spans="1:21" ht="104.1" customHeight="1">
      <c r="A286" s="8">
        <v>48</v>
      </c>
      <c r="B286" s="9" t="s">
        <v>37</v>
      </c>
      <c r="C286" s="10" t="s">
        <v>38</v>
      </c>
      <c r="D286" s="10" t="s">
        <v>39</v>
      </c>
      <c r="E286" s="10" t="s">
        <v>132</v>
      </c>
      <c r="F286" s="10" t="s">
        <v>41</v>
      </c>
      <c r="G286" s="10" t="s">
        <v>42</v>
      </c>
      <c r="H286" s="11">
        <v>1</v>
      </c>
      <c r="I286" s="11">
        <v>1</v>
      </c>
      <c r="J286" s="10" t="s">
        <v>886</v>
      </c>
      <c r="K286" s="12" t="s">
        <v>887</v>
      </c>
      <c r="L286" s="17" t="s">
        <v>888</v>
      </c>
      <c r="M286" s="14">
        <v>3</v>
      </c>
      <c r="N286" s="14">
        <v>0</v>
      </c>
      <c r="O286" s="14">
        <v>5</v>
      </c>
      <c r="P286" s="14">
        <v>25</v>
      </c>
      <c r="Q286" s="14">
        <v>70</v>
      </c>
      <c r="R286" s="23" t="s">
        <v>26</v>
      </c>
      <c r="S286" s="14" t="str">
        <f t="shared" si="12"/>
        <v/>
      </c>
      <c r="T286" s="14" t="str">
        <f t="shared" si="13"/>
        <v/>
      </c>
      <c r="U286" s="14" t="str">
        <f t="shared" si="14"/>
        <v/>
      </c>
    </row>
    <row r="287" spans="1:21" ht="104.1" customHeight="1">
      <c r="A287" s="8">
        <v>48</v>
      </c>
      <c r="B287" s="9" t="s">
        <v>46</v>
      </c>
      <c r="C287" s="10" t="s">
        <v>47</v>
      </c>
      <c r="D287" s="10" t="s">
        <v>48</v>
      </c>
      <c r="E287" s="10" t="s">
        <v>307</v>
      </c>
      <c r="F287" s="10" t="s">
        <v>50</v>
      </c>
      <c r="G287" s="10" t="s">
        <v>51</v>
      </c>
      <c r="H287" s="11">
        <v>3</v>
      </c>
      <c r="I287" s="11">
        <v>3</v>
      </c>
      <c r="J287" s="10" t="s">
        <v>889</v>
      </c>
      <c r="K287" s="12" t="s">
        <v>890</v>
      </c>
      <c r="L287" s="17" t="s">
        <v>891</v>
      </c>
      <c r="M287" s="14">
        <v>3</v>
      </c>
      <c r="N287" s="14">
        <v>0</v>
      </c>
      <c r="O287" s="14">
        <v>0</v>
      </c>
      <c r="P287" s="14">
        <v>0</v>
      </c>
      <c r="Q287" s="14">
        <v>100</v>
      </c>
      <c r="R287" s="23" t="s">
        <v>36</v>
      </c>
      <c r="S287" s="14" t="str">
        <f t="shared" si="12"/>
        <v/>
      </c>
      <c r="T287" s="14" t="str">
        <f t="shared" si="13"/>
        <v/>
      </c>
      <c r="U287" s="14" t="str">
        <f t="shared" si="14"/>
        <v/>
      </c>
    </row>
    <row r="288" spans="1:21" ht="104.1" customHeight="1">
      <c r="A288" s="8">
        <v>48</v>
      </c>
      <c r="B288" s="9" t="s">
        <v>55</v>
      </c>
      <c r="C288" s="10" t="s">
        <v>56</v>
      </c>
      <c r="D288" s="10" t="s">
        <v>57</v>
      </c>
      <c r="E288" s="10" t="s">
        <v>116</v>
      </c>
      <c r="F288" s="10" t="s">
        <v>59</v>
      </c>
      <c r="G288" s="10" t="s">
        <v>60</v>
      </c>
      <c r="H288" s="11">
        <v>3</v>
      </c>
      <c r="I288" s="11">
        <v>2</v>
      </c>
      <c r="J288" s="10" t="s">
        <v>271</v>
      </c>
      <c r="K288" s="12" t="s">
        <v>892</v>
      </c>
      <c r="L288" s="17" t="s">
        <v>893</v>
      </c>
      <c r="M288" s="14">
        <v>3</v>
      </c>
      <c r="N288" s="14">
        <v>0</v>
      </c>
      <c r="O288" s="14">
        <v>0</v>
      </c>
      <c r="P288" s="14">
        <v>100</v>
      </c>
      <c r="Q288" s="14">
        <v>0</v>
      </c>
      <c r="R288" s="23" t="s">
        <v>36</v>
      </c>
      <c r="S288" s="14" t="str">
        <f t="shared" si="12"/>
        <v/>
      </c>
      <c r="T288" s="14" t="str">
        <f t="shared" si="13"/>
        <v/>
      </c>
      <c r="U288" s="14" t="str">
        <f t="shared" si="14"/>
        <v/>
      </c>
    </row>
    <row r="289" spans="1:22" ht="104.1" customHeight="1">
      <c r="A289" s="8">
        <v>48</v>
      </c>
      <c r="B289" s="9" t="s">
        <v>65</v>
      </c>
      <c r="C289" s="10" t="s">
        <v>66</v>
      </c>
      <c r="D289" s="10" t="s">
        <v>67</v>
      </c>
      <c r="E289" s="10" t="s">
        <v>166</v>
      </c>
      <c r="F289" s="10" t="s">
        <v>69</v>
      </c>
      <c r="G289" s="10" t="s">
        <v>70</v>
      </c>
      <c r="H289" s="11">
        <v>2</v>
      </c>
      <c r="I289" s="11">
        <v>1</v>
      </c>
      <c r="J289" s="10" t="s">
        <v>894</v>
      </c>
      <c r="K289" s="12" t="s">
        <v>895</v>
      </c>
      <c r="L289" s="17" t="s">
        <v>896</v>
      </c>
      <c r="M289" s="14">
        <v>3</v>
      </c>
      <c r="N289" s="14">
        <v>0</v>
      </c>
      <c r="O289" s="14">
        <v>0</v>
      </c>
      <c r="P289" s="14">
        <v>30</v>
      </c>
      <c r="Q289" s="14">
        <v>70</v>
      </c>
      <c r="R289" s="23" t="s">
        <v>26</v>
      </c>
      <c r="S289" s="14" t="str">
        <f t="shared" si="12"/>
        <v/>
      </c>
      <c r="T289" s="14" t="str">
        <f t="shared" si="13"/>
        <v/>
      </c>
      <c r="U289" s="14" t="str">
        <f t="shared" si="14"/>
        <v/>
      </c>
    </row>
    <row r="290" spans="1:22" ht="104.1" customHeight="1">
      <c r="A290" s="8">
        <v>49</v>
      </c>
      <c r="B290" s="9" t="s">
        <v>17</v>
      </c>
      <c r="C290" s="10" t="s">
        <v>18</v>
      </c>
      <c r="D290" s="10" t="s">
        <v>19</v>
      </c>
      <c r="E290" s="10" t="s">
        <v>20</v>
      </c>
      <c r="F290" s="10" t="s">
        <v>21</v>
      </c>
      <c r="G290" s="10" t="s">
        <v>22</v>
      </c>
      <c r="H290" s="11">
        <v>2</v>
      </c>
      <c r="I290" s="11">
        <v>2</v>
      </c>
      <c r="J290" s="10" t="s">
        <v>897</v>
      </c>
      <c r="K290" s="12" t="s">
        <v>898</v>
      </c>
      <c r="L290" s="17" t="s">
        <v>899</v>
      </c>
      <c r="M290" s="14">
        <v>3</v>
      </c>
      <c r="N290" s="14">
        <v>0</v>
      </c>
      <c r="O290" s="14">
        <v>0</v>
      </c>
      <c r="P290" s="14">
        <v>50</v>
      </c>
      <c r="Q290" s="14">
        <v>50</v>
      </c>
      <c r="R290" s="23" t="s">
        <v>26</v>
      </c>
      <c r="S290" s="14" t="str">
        <f t="shared" si="12"/>
        <v/>
      </c>
      <c r="T290" s="14" t="str">
        <f t="shared" si="13"/>
        <v/>
      </c>
      <c r="U290" s="14" t="str">
        <f t="shared" si="14"/>
        <v/>
      </c>
    </row>
    <row r="291" spans="1:22" ht="80.099999999999994" customHeight="1">
      <c r="A291" s="8">
        <v>49</v>
      </c>
      <c r="B291" s="9" t="s">
        <v>27</v>
      </c>
      <c r="C291" s="10" t="s">
        <v>28</v>
      </c>
      <c r="D291" s="10" t="s">
        <v>29</v>
      </c>
      <c r="E291" s="10" t="s">
        <v>192</v>
      </c>
      <c r="F291" s="10" t="s">
        <v>31</v>
      </c>
      <c r="G291" s="10" t="s">
        <v>32</v>
      </c>
      <c r="H291" s="11">
        <v>3</v>
      </c>
      <c r="I291" s="11">
        <v>3</v>
      </c>
      <c r="J291" s="10" t="s">
        <v>900</v>
      </c>
      <c r="K291" s="12" t="s">
        <v>901</v>
      </c>
      <c r="L291" s="17" t="s">
        <v>902</v>
      </c>
      <c r="M291" s="14">
        <v>3</v>
      </c>
      <c r="N291" s="14">
        <v>0</v>
      </c>
      <c r="O291" s="14">
        <v>0</v>
      </c>
      <c r="P291" s="14">
        <v>0</v>
      </c>
      <c r="Q291" s="14">
        <v>100</v>
      </c>
      <c r="R291" s="23" t="s">
        <v>36</v>
      </c>
      <c r="S291" s="14" t="str">
        <f t="shared" si="12"/>
        <v/>
      </c>
      <c r="T291" s="14" t="str">
        <f t="shared" si="13"/>
        <v/>
      </c>
      <c r="U291" s="14" t="str">
        <f t="shared" si="14"/>
        <v/>
      </c>
    </row>
    <row r="292" spans="1:22" ht="80.099999999999994" customHeight="1">
      <c r="A292" s="8">
        <v>49</v>
      </c>
      <c r="B292" s="9" t="s">
        <v>37</v>
      </c>
      <c r="C292" s="10" t="s">
        <v>38</v>
      </c>
      <c r="D292" s="10" t="s">
        <v>39</v>
      </c>
      <c r="E292" s="10" t="s">
        <v>40</v>
      </c>
      <c r="F292" s="10" t="s">
        <v>41</v>
      </c>
      <c r="G292" s="10" t="s">
        <v>42</v>
      </c>
      <c r="H292" s="11">
        <v>3</v>
      </c>
      <c r="I292" s="11">
        <v>2</v>
      </c>
      <c r="J292" s="10" t="s">
        <v>903</v>
      </c>
      <c r="K292" s="12" t="s">
        <v>904</v>
      </c>
      <c r="L292" s="17" t="s">
        <v>905</v>
      </c>
      <c r="M292" s="14">
        <v>3</v>
      </c>
      <c r="N292" s="14">
        <v>0</v>
      </c>
      <c r="O292" s="14">
        <v>0</v>
      </c>
      <c r="P292" s="14">
        <v>100</v>
      </c>
      <c r="Q292" s="14">
        <v>0</v>
      </c>
      <c r="R292" s="23" t="s">
        <v>36</v>
      </c>
      <c r="S292" s="14" t="str">
        <f t="shared" si="12"/>
        <v/>
      </c>
      <c r="T292" s="14" t="str">
        <f t="shared" si="13"/>
        <v/>
      </c>
      <c r="U292" s="14" t="str">
        <f t="shared" si="14"/>
        <v/>
      </c>
    </row>
    <row r="293" spans="1:22" ht="80.099999999999994" customHeight="1">
      <c r="A293" s="8">
        <v>49</v>
      </c>
      <c r="B293" s="9" t="s">
        <v>46</v>
      </c>
      <c r="C293" s="10" t="s">
        <v>47</v>
      </c>
      <c r="D293" s="10" t="s">
        <v>48</v>
      </c>
      <c r="E293" s="10" t="s">
        <v>49</v>
      </c>
      <c r="F293" s="10" t="s">
        <v>50</v>
      </c>
      <c r="G293" s="10" t="s">
        <v>51</v>
      </c>
      <c r="H293" s="11">
        <v>1</v>
      </c>
      <c r="I293" s="11">
        <v>1</v>
      </c>
      <c r="J293" s="10" t="s">
        <v>906</v>
      </c>
      <c r="K293" s="12" t="s">
        <v>907</v>
      </c>
      <c r="L293" s="17" t="s">
        <v>908</v>
      </c>
      <c r="M293" s="14">
        <v>3</v>
      </c>
      <c r="N293" s="14">
        <v>0</v>
      </c>
      <c r="O293" s="14">
        <v>5</v>
      </c>
      <c r="P293" s="14">
        <v>25</v>
      </c>
      <c r="Q293" s="14">
        <v>70</v>
      </c>
      <c r="R293" s="23" t="s">
        <v>26</v>
      </c>
      <c r="S293" s="14" t="str">
        <f t="shared" si="12"/>
        <v/>
      </c>
      <c r="T293" s="14" t="str">
        <f t="shared" si="13"/>
        <v/>
      </c>
      <c r="U293" s="14" t="str">
        <f t="shared" si="14"/>
        <v/>
      </c>
    </row>
    <row r="294" spans="1:22" ht="68.099999999999994" customHeight="1">
      <c r="A294" s="8">
        <v>49</v>
      </c>
      <c r="B294" s="9" t="s">
        <v>55</v>
      </c>
      <c r="C294" s="10" t="s">
        <v>56</v>
      </c>
      <c r="D294" s="10" t="s">
        <v>57</v>
      </c>
      <c r="E294" s="10" t="s">
        <v>58</v>
      </c>
      <c r="F294" s="10" t="s">
        <v>59</v>
      </c>
      <c r="G294" s="10" t="s">
        <v>60</v>
      </c>
      <c r="H294" s="11">
        <v>2</v>
      </c>
      <c r="I294" s="11">
        <v>1</v>
      </c>
      <c r="J294" s="10" t="s">
        <v>909</v>
      </c>
      <c r="K294" s="12" t="s">
        <v>910</v>
      </c>
      <c r="L294" s="17" t="s">
        <v>911</v>
      </c>
      <c r="M294" s="14" t="s">
        <v>94</v>
      </c>
      <c r="N294" s="14">
        <v>0</v>
      </c>
      <c r="O294" s="14">
        <v>5</v>
      </c>
      <c r="P294" s="14">
        <v>35</v>
      </c>
      <c r="Q294" s="14" t="s">
        <v>169</v>
      </c>
      <c r="R294" s="23" t="s">
        <v>26</v>
      </c>
      <c r="S294" s="14" t="str">
        <f t="shared" si="12"/>
        <v>drop_incomplete</v>
      </c>
      <c r="T294" s="14" t="str">
        <f t="shared" si="13"/>
        <v>drop_wrongPrior</v>
      </c>
      <c r="U294" s="14" t="str">
        <f t="shared" si="14"/>
        <v/>
      </c>
    </row>
    <row r="295" spans="1:22" ht="128.1" customHeight="1">
      <c r="A295" s="8">
        <v>49</v>
      </c>
      <c r="B295" s="9" t="s">
        <v>65</v>
      </c>
      <c r="C295" s="10" t="s">
        <v>66</v>
      </c>
      <c r="D295" s="10" t="s">
        <v>67</v>
      </c>
      <c r="E295" s="10" t="s">
        <v>446</v>
      </c>
      <c r="F295" s="10" t="s">
        <v>69</v>
      </c>
      <c r="G295" s="10" t="s">
        <v>70</v>
      </c>
      <c r="H295" s="11">
        <v>3</v>
      </c>
      <c r="I295" s="11">
        <v>1</v>
      </c>
      <c r="J295" s="10" t="s">
        <v>575</v>
      </c>
      <c r="K295" s="12" t="s">
        <v>912</v>
      </c>
      <c r="L295" s="17" t="s">
        <v>913</v>
      </c>
      <c r="M295" s="14">
        <v>3</v>
      </c>
      <c r="N295" s="14">
        <v>0</v>
      </c>
      <c r="O295" s="14">
        <v>95</v>
      </c>
      <c r="P295" s="14">
        <v>5</v>
      </c>
      <c r="Q295" s="14">
        <v>0</v>
      </c>
      <c r="R295" s="23" t="s">
        <v>36</v>
      </c>
      <c r="S295" s="14" t="str">
        <f t="shared" si="12"/>
        <v/>
      </c>
      <c r="T295" s="14" t="str">
        <f t="shared" si="13"/>
        <v/>
      </c>
      <c r="U295" s="14" t="str">
        <f t="shared" si="14"/>
        <v/>
      </c>
    </row>
    <row r="296" spans="1:22" ht="104.1" customHeight="1">
      <c r="A296" s="8">
        <v>50</v>
      </c>
      <c r="B296" s="9" t="s">
        <v>17</v>
      </c>
      <c r="C296" s="10" t="s">
        <v>18</v>
      </c>
      <c r="D296" s="10" t="s">
        <v>19</v>
      </c>
      <c r="E296" s="10" t="s">
        <v>125</v>
      </c>
      <c r="F296" s="10" t="s">
        <v>21</v>
      </c>
      <c r="G296" s="10" t="s">
        <v>22</v>
      </c>
      <c r="H296" s="11">
        <v>3</v>
      </c>
      <c r="I296" s="11">
        <v>1</v>
      </c>
      <c r="J296" s="10" t="s">
        <v>297</v>
      </c>
      <c r="K296" s="12" t="s">
        <v>914</v>
      </c>
      <c r="L296" s="17" t="s">
        <v>915</v>
      </c>
      <c r="M296" s="14">
        <v>3</v>
      </c>
      <c r="N296" s="14">
        <v>0</v>
      </c>
      <c r="O296" s="14">
        <v>65</v>
      </c>
      <c r="P296" s="14">
        <v>25</v>
      </c>
      <c r="Q296" s="14">
        <v>10</v>
      </c>
      <c r="R296" s="23" t="s">
        <v>36</v>
      </c>
      <c r="S296" s="14" t="str">
        <f t="shared" si="12"/>
        <v/>
      </c>
      <c r="T296" s="14" t="str">
        <f t="shared" si="13"/>
        <v/>
      </c>
      <c r="U296" s="14" t="str">
        <f t="shared" si="14"/>
        <v/>
      </c>
    </row>
    <row r="297" spans="1:22" ht="104.1" customHeight="1">
      <c r="A297" s="8">
        <v>50</v>
      </c>
      <c r="B297" s="9" t="s">
        <v>27</v>
      </c>
      <c r="C297" s="10" t="s">
        <v>28</v>
      </c>
      <c r="D297" s="10" t="s">
        <v>29</v>
      </c>
      <c r="E297" s="10" t="s">
        <v>78</v>
      </c>
      <c r="F297" s="10" t="s">
        <v>31</v>
      </c>
      <c r="G297" s="10" t="s">
        <v>32</v>
      </c>
      <c r="H297" s="11">
        <v>3</v>
      </c>
      <c r="I297" s="11">
        <v>2</v>
      </c>
      <c r="J297" s="10" t="s">
        <v>173</v>
      </c>
      <c r="K297" s="12" t="s">
        <v>916</v>
      </c>
      <c r="L297" s="17" t="s">
        <v>320</v>
      </c>
      <c r="M297" s="14">
        <v>3</v>
      </c>
      <c r="N297" s="14">
        <v>0</v>
      </c>
      <c r="O297" s="14">
        <v>0</v>
      </c>
      <c r="P297" s="14">
        <v>100</v>
      </c>
      <c r="Q297" s="14">
        <v>0</v>
      </c>
      <c r="R297" s="23" t="s">
        <v>36</v>
      </c>
      <c r="S297" s="14" t="str">
        <f t="shared" si="12"/>
        <v/>
      </c>
      <c r="T297" s="14" t="str">
        <f t="shared" si="13"/>
        <v/>
      </c>
      <c r="U297" s="14" t="str">
        <f t="shared" si="14"/>
        <v/>
      </c>
    </row>
    <row r="298" spans="1:22" ht="92.1" customHeight="1">
      <c r="A298" s="8">
        <v>50</v>
      </c>
      <c r="B298" s="9" t="s">
        <v>37</v>
      </c>
      <c r="C298" s="10" t="s">
        <v>38</v>
      </c>
      <c r="D298" s="10" t="s">
        <v>39</v>
      </c>
      <c r="E298" s="10" t="s">
        <v>132</v>
      </c>
      <c r="F298" s="10" t="s">
        <v>41</v>
      </c>
      <c r="G298" s="10" t="s">
        <v>42</v>
      </c>
      <c r="H298" s="11">
        <v>1</v>
      </c>
      <c r="I298" s="11">
        <v>1</v>
      </c>
      <c r="J298" s="10" t="s">
        <v>870</v>
      </c>
      <c r="K298" s="12" t="s">
        <v>917</v>
      </c>
      <c r="L298" s="17" t="s">
        <v>918</v>
      </c>
      <c r="M298" s="14">
        <v>3</v>
      </c>
      <c r="N298" s="14">
        <v>0</v>
      </c>
      <c r="O298" s="14">
        <v>20</v>
      </c>
      <c r="P298" s="14">
        <v>30</v>
      </c>
      <c r="Q298" s="14">
        <v>50</v>
      </c>
      <c r="R298" s="23" t="s">
        <v>26</v>
      </c>
      <c r="S298" s="14" t="str">
        <f t="shared" si="12"/>
        <v/>
      </c>
      <c r="T298" s="14" t="str">
        <f t="shared" si="13"/>
        <v/>
      </c>
      <c r="U298" s="14" t="str">
        <f t="shared" si="14"/>
        <v/>
      </c>
    </row>
    <row r="299" spans="1:22" ht="80.099999999999994" customHeight="1">
      <c r="A299" s="8">
        <v>50</v>
      </c>
      <c r="B299" s="9" t="s">
        <v>46</v>
      </c>
      <c r="C299" s="10" t="s">
        <v>47</v>
      </c>
      <c r="D299" s="10" t="s">
        <v>48</v>
      </c>
      <c r="E299" s="10" t="s">
        <v>286</v>
      </c>
      <c r="F299" s="10" t="s">
        <v>50</v>
      </c>
      <c r="G299" s="10" t="s">
        <v>51</v>
      </c>
      <c r="H299" s="11">
        <v>2</v>
      </c>
      <c r="I299" s="11">
        <v>2</v>
      </c>
      <c r="J299" s="10" t="s">
        <v>919</v>
      </c>
      <c r="K299" s="12" t="s">
        <v>920</v>
      </c>
      <c r="L299" s="17" t="s">
        <v>921</v>
      </c>
      <c r="M299" s="14">
        <v>3</v>
      </c>
      <c r="N299" s="14">
        <v>0</v>
      </c>
      <c r="O299" s="14">
        <v>10</v>
      </c>
      <c r="P299" s="14">
        <v>20</v>
      </c>
      <c r="Q299" s="14" t="s">
        <v>124</v>
      </c>
      <c r="R299" s="23" t="s">
        <v>26</v>
      </c>
      <c r="S299" s="14" t="str">
        <f t="shared" si="12"/>
        <v>drop_incomplete</v>
      </c>
      <c r="T299" s="14" t="str">
        <f t="shared" si="13"/>
        <v/>
      </c>
      <c r="U299" s="14" t="str">
        <f t="shared" si="14"/>
        <v/>
      </c>
    </row>
    <row r="300" spans="1:22" ht="20.100000000000001" customHeight="1">
      <c r="A300" s="8">
        <v>50</v>
      </c>
      <c r="B300" s="9" t="s">
        <v>55</v>
      </c>
      <c r="C300" s="10" t="s">
        <v>56</v>
      </c>
      <c r="D300" s="10" t="s">
        <v>57</v>
      </c>
      <c r="E300" s="10" t="s">
        <v>139</v>
      </c>
      <c r="F300" s="10" t="s">
        <v>59</v>
      </c>
      <c r="G300" s="10" t="s">
        <v>60</v>
      </c>
      <c r="H300" s="11">
        <v>3</v>
      </c>
      <c r="I300" s="11">
        <v>3</v>
      </c>
      <c r="J300" s="10" t="s">
        <v>922</v>
      </c>
      <c r="K300" s="10" t="s">
        <v>923</v>
      </c>
      <c r="L300" s="17" t="s">
        <v>924</v>
      </c>
      <c r="M300" s="18" t="s">
        <v>94</v>
      </c>
      <c r="N300" s="18">
        <v>0</v>
      </c>
      <c r="O300" s="18">
        <v>0</v>
      </c>
      <c r="P300" s="18">
        <v>0</v>
      </c>
      <c r="Q300" s="18">
        <v>100</v>
      </c>
      <c r="R300" s="24" t="s">
        <v>36</v>
      </c>
      <c r="S300" s="14" t="str">
        <f t="shared" si="12"/>
        <v/>
      </c>
      <c r="T300" s="14" t="str">
        <f t="shared" si="13"/>
        <v>drop_wrongPrior</v>
      </c>
      <c r="U300" s="14" t="str">
        <f t="shared" si="14"/>
        <v/>
      </c>
    </row>
    <row r="301" spans="1:22" ht="68.099999999999994" customHeight="1">
      <c r="A301" s="8">
        <v>50</v>
      </c>
      <c r="B301" s="9" t="s">
        <v>65</v>
      </c>
      <c r="C301" s="10" t="s">
        <v>66</v>
      </c>
      <c r="D301" s="10" t="s">
        <v>67</v>
      </c>
      <c r="E301" s="10" t="s">
        <v>166</v>
      </c>
      <c r="F301" s="10" t="s">
        <v>69</v>
      </c>
      <c r="G301" s="10" t="s">
        <v>70</v>
      </c>
      <c r="H301" s="11">
        <v>2</v>
      </c>
      <c r="I301" s="11">
        <v>1</v>
      </c>
      <c r="J301" s="10" t="s">
        <v>925</v>
      </c>
      <c r="K301" s="12" t="s">
        <v>926</v>
      </c>
      <c r="L301" s="17" t="s">
        <v>927</v>
      </c>
      <c r="M301" s="14">
        <v>3</v>
      </c>
      <c r="N301" s="14">
        <v>0</v>
      </c>
      <c r="O301" s="14">
        <v>10</v>
      </c>
      <c r="P301" s="14" t="s">
        <v>293</v>
      </c>
      <c r="Q301" s="14" t="s">
        <v>169</v>
      </c>
      <c r="R301" s="23" t="s">
        <v>26</v>
      </c>
      <c r="S301" s="18" t="str">
        <f t="shared" si="12"/>
        <v>drop_incomplete</v>
      </c>
      <c r="T301" s="18" t="str">
        <f t="shared" si="13"/>
        <v/>
      </c>
      <c r="U301" s="18" t="str">
        <f t="shared" si="14"/>
        <v/>
      </c>
    </row>
    <row r="302" spans="1:22" ht="19.899999999999999" customHeight="1">
      <c r="M302" s="20"/>
      <c r="N302" s="20"/>
      <c r="O302" s="20"/>
      <c r="P302" s="20"/>
      <c r="Q302" s="20"/>
      <c r="R302" s="20"/>
      <c r="S302" s="20"/>
      <c r="T302" s="20"/>
      <c r="U302" s="20"/>
      <c r="V302" s="20"/>
    </row>
    <row r="303" spans="1:22" ht="19.899999999999999" customHeight="1">
      <c r="M303" s="20"/>
      <c r="N303" s="20"/>
      <c r="O303" s="20"/>
      <c r="P303" s="20"/>
      <c r="Q303" s="20"/>
      <c r="R303" s="20"/>
      <c r="S303" s="20"/>
      <c r="T303" s="20"/>
      <c r="U303" s="20"/>
      <c r="V303" s="20"/>
    </row>
    <row r="304" spans="1:22" ht="19.899999999999999" customHeight="1">
      <c r="M304" s="20"/>
      <c r="N304" s="20"/>
      <c r="O304" s="20"/>
      <c r="P304" s="20"/>
      <c r="Q304" s="20"/>
      <c r="R304" s="20"/>
      <c r="S304" s="20"/>
      <c r="T304" s="20"/>
      <c r="U304" s="20"/>
      <c r="V304" s="20"/>
    </row>
    <row r="305" spans="13:22" ht="19.899999999999999" customHeight="1">
      <c r="M305" s="20"/>
      <c r="N305" s="20"/>
      <c r="O305" s="20"/>
      <c r="P305" s="20"/>
      <c r="Q305" s="20"/>
      <c r="R305" s="20"/>
      <c r="S305" s="20"/>
      <c r="T305" s="20"/>
      <c r="U305" s="20"/>
      <c r="V305" s="20"/>
    </row>
    <row r="306" spans="13:22" ht="19.899999999999999" customHeight="1">
      <c r="M306" s="20"/>
      <c r="N306" s="20"/>
      <c r="O306" s="20"/>
      <c r="P306" s="20"/>
      <c r="Q306" s="20"/>
      <c r="R306" s="20"/>
      <c r="S306" s="20"/>
      <c r="T306" s="20"/>
      <c r="U306" s="20"/>
      <c r="V306" s="20"/>
    </row>
    <row r="307" spans="13:22" ht="19.899999999999999" customHeight="1">
      <c r="M307" s="20"/>
      <c r="N307" s="20"/>
      <c r="O307" s="20"/>
      <c r="P307" s="20"/>
      <c r="Q307" s="20"/>
      <c r="R307" s="20"/>
      <c r="S307" s="20"/>
      <c r="T307" s="20"/>
      <c r="U307" s="20"/>
      <c r="V307" s="20"/>
    </row>
    <row r="308" spans="13:22" ht="19.899999999999999" customHeight="1">
      <c r="M308" s="20"/>
      <c r="N308" s="20"/>
      <c r="O308" s="20"/>
      <c r="P308" s="20"/>
      <c r="Q308" s="20"/>
      <c r="R308" s="20"/>
      <c r="S308" s="20"/>
      <c r="T308" s="20"/>
      <c r="U308" s="20"/>
      <c r="V308" s="20"/>
    </row>
    <row r="309" spans="13:22" ht="19.899999999999999" customHeight="1">
      <c r="M309" s="20"/>
      <c r="N309" s="20"/>
      <c r="O309" s="20"/>
      <c r="P309" s="20"/>
      <c r="Q309" s="20"/>
      <c r="R309" s="20"/>
      <c r="S309" s="20"/>
      <c r="T309" s="20"/>
      <c r="U309" s="20"/>
      <c r="V309" s="20"/>
    </row>
    <row r="310" spans="13:22" ht="19.899999999999999" customHeight="1">
      <c r="M310" s="20"/>
      <c r="N310" s="20"/>
      <c r="O310" s="20"/>
      <c r="P310" s="20"/>
      <c r="Q310" s="20"/>
      <c r="R310" s="20"/>
      <c r="S310" s="20"/>
      <c r="T310" s="20"/>
      <c r="U310" s="20"/>
      <c r="V310" s="20"/>
    </row>
    <row r="311" spans="13:22" ht="19.899999999999999" customHeight="1">
      <c r="M311" s="20"/>
      <c r="N311" s="20"/>
      <c r="O311" s="20"/>
      <c r="P311" s="20"/>
      <c r="Q311" s="20"/>
      <c r="R311" s="20"/>
      <c r="S311" s="20"/>
      <c r="T311" s="20"/>
      <c r="U311" s="20"/>
      <c r="V311" s="20"/>
    </row>
    <row r="312" spans="13:22" ht="19.899999999999999" customHeight="1">
      <c r="M312" s="20"/>
      <c r="N312" s="20"/>
      <c r="O312" s="20"/>
      <c r="P312" s="20"/>
      <c r="Q312" s="20"/>
      <c r="R312" s="20"/>
      <c r="S312" s="20"/>
      <c r="T312" s="20"/>
      <c r="U312" s="20"/>
      <c r="V312" s="20"/>
    </row>
    <row r="313" spans="13:22" ht="19.899999999999999" customHeight="1">
      <c r="M313" s="20"/>
      <c r="N313" s="20"/>
      <c r="O313" s="20"/>
      <c r="P313" s="20"/>
      <c r="Q313" s="20"/>
      <c r="R313" s="20"/>
      <c r="S313" s="20"/>
      <c r="T313" s="20"/>
      <c r="U313" s="20"/>
      <c r="V313" s="20"/>
    </row>
    <row r="314" spans="13:22" ht="19.899999999999999" customHeight="1">
      <c r="M314" s="20"/>
      <c r="N314" s="20"/>
      <c r="O314" s="20"/>
      <c r="P314" s="20"/>
      <c r="Q314" s="20"/>
      <c r="R314" s="20"/>
      <c r="S314" s="20"/>
      <c r="T314" s="20"/>
      <c r="U314" s="20"/>
      <c r="V314" s="20"/>
    </row>
    <row r="315" spans="13:22" ht="19.899999999999999" customHeight="1">
      <c r="M315" s="20"/>
      <c r="N315" s="20"/>
      <c r="O315" s="20"/>
      <c r="P315" s="20"/>
      <c r="Q315" s="20"/>
      <c r="R315" s="20"/>
      <c r="S315" s="20"/>
      <c r="T315" s="20"/>
      <c r="U315" s="20"/>
      <c r="V315" s="20"/>
    </row>
    <row r="316" spans="13:22" ht="19.899999999999999" customHeight="1">
      <c r="M316" s="20"/>
      <c r="N316" s="20"/>
      <c r="O316" s="20"/>
      <c r="P316" s="20"/>
      <c r="Q316" s="20"/>
      <c r="R316" s="20"/>
      <c r="S316" s="20"/>
      <c r="T316" s="20"/>
      <c r="U316" s="20"/>
      <c r="V316" s="20"/>
    </row>
    <row r="317" spans="13:22" ht="19.899999999999999" customHeight="1">
      <c r="M317" s="20"/>
      <c r="N317" s="20"/>
      <c r="O317" s="20"/>
      <c r="P317" s="20"/>
      <c r="Q317" s="20"/>
      <c r="R317" s="20"/>
      <c r="S317" s="20"/>
      <c r="T317" s="20"/>
      <c r="U317" s="20"/>
      <c r="V317" s="20"/>
    </row>
    <row r="318" spans="13:22" ht="19.899999999999999" customHeight="1">
      <c r="M318" s="20"/>
      <c r="N318" s="20"/>
      <c r="O318" s="20"/>
      <c r="P318" s="20"/>
      <c r="Q318" s="20"/>
      <c r="R318" s="20"/>
      <c r="S318" s="20"/>
      <c r="T318" s="20"/>
      <c r="U318" s="20"/>
      <c r="V318" s="20"/>
    </row>
    <row r="319" spans="13:22" ht="19.899999999999999" customHeight="1">
      <c r="M319" s="20"/>
      <c r="N319" s="20"/>
      <c r="O319" s="20"/>
      <c r="P319" s="20"/>
      <c r="Q319" s="20"/>
      <c r="R319" s="20"/>
      <c r="S319" s="20"/>
      <c r="T319" s="20"/>
      <c r="U319" s="20"/>
      <c r="V319" s="20"/>
    </row>
    <row r="320" spans="13:22" ht="19.899999999999999" customHeight="1">
      <c r="M320" s="20"/>
      <c r="N320" s="20"/>
      <c r="O320" s="20"/>
      <c r="P320" s="20"/>
      <c r="Q320" s="20"/>
      <c r="R320" s="20"/>
      <c r="S320" s="20"/>
      <c r="T320" s="20"/>
      <c r="U320" s="20"/>
      <c r="V320" s="20"/>
    </row>
    <row r="321" spans="13:22" ht="19.899999999999999" customHeight="1">
      <c r="M321" s="20"/>
      <c r="N321" s="20"/>
      <c r="O321" s="20"/>
      <c r="P321" s="20"/>
      <c r="Q321" s="20"/>
      <c r="R321" s="20"/>
      <c r="S321" s="20"/>
      <c r="T321" s="20"/>
      <c r="U321" s="20"/>
      <c r="V321" s="20"/>
    </row>
    <row r="322" spans="13:22" ht="19.899999999999999" customHeight="1">
      <c r="M322" s="20"/>
      <c r="N322" s="20"/>
      <c r="O322" s="20"/>
      <c r="P322" s="20"/>
      <c r="Q322" s="20"/>
      <c r="R322" s="20"/>
      <c r="S322" s="20"/>
      <c r="T322" s="20"/>
      <c r="U322" s="20"/>
      <c r="V322" s="20"/>
    </row>
    <row r="323" spans="13:22" ht="19.899999999999999" customHeight="1">
      <c r="M323" s="20"/>
      <c r="N323" s="20"/>
      <c r="O323" s="20"/>
      <c r="P323" s="20"/>
      <c r="Q323" s="20"/>
      <c r="R323" s="20"/>
      <c r="S323" s="20"/>
      <c r="T323" s="20"/>
      <c r="U323" s="20"/>
      <c r="V323" s="20"/>
    </row>
    <row r="324" spans="13:22" ht="19.899999999999999" customHeight="1">
      <c r="M324" s="20"/>
      <c r="N324" s="20"/>
      <c r="O324" s="20"/>
      <c r="P324" s="20"/>
      <c r="Q324" s="20"/>
      <c r="R324" s="20"/>
      <c r="S324" s="20"/>
      <c r="T324" s="20"/>
      <c r="U324" s="20"/>
      <c r="V324" s="20"/>
    </row>
    <row r="325" spans="13:22" ht="19.899999999999999" customHeight="1">
      <c r="M325" s="20"/>
      <c r="N325" s="20"/>
      <c r="O325" s="20"/>
      <c r="P325" s="20"/>
      <c r="Q325" s="20"/>
      <c r="R325" s="20"/>
      <c r="S325" s="20"/>
      <c r="T325" s="20"/>
      <c r="U325" s="20"/>
      <c r="V325" s="20"/>
    </row>
    <row r="326" spans="13:22" ht="19.899999999999999" customHeight="1">
      <c r="M326" s="20"/>
      <c r="N326" s="20"/>
      <c r="O326" s="20"/>
      <c r="P326" s="20"/>
      <c r="Q326" s="20"/>
      <c r="R326" s="20"/>
      <c r="S326" s="20"/>
      <c r="T326" s="20"/>
      <c r="U326" s="20"/>
      <c r="V326" s="20"/>
    </row>
    <row r="327" spans="13:22" ht="19.899999999999999" customHeight="1">
      <c r="M327" s="20"/>
      <c r="N327" s="20"/>
      <c r="O327" s="20"/>
      <c r="P327" s="20"/>
      <c r="Q327" s="20"/>
      <c r="R327" s="20"/>
      <c r="S327" s="20"/>
      <c r="T327" s="20"/>
      <c r="U327" s="20"/>
      <c r="V327" s="20"/>
    </row>
    <row r="328" spans="13:22" ht="19.899999999999999" customHeight="1">
      <c r="M328" s="20"/>
      <c r="N328" s="20"/>
      <c r="O328" s="20"/>
      <c r="P328" s="20"/>
      <c r="Q328" s="20"/>
      <c r="R328" s="20"/>
      <c r="S328" s="20"/>
      <c r="T328" s="20"/>
      <c r="U328" s="20"/>
      <c r="V328" s="20"/>
    </row>
    <row r="329" spans="13:22" ht="19.899999999999999" customHeight="1">
      <c r="M329" s="20"/>
      <c r="N329" s="20"/>
      <c r="O329" s="20"/>
      <c r="P329" s="20"/>
      <c r="Q329" s="20"/>
      <c r="R329" s="20"/>
      <c r="S329" s="20"/>
      <c r="T329" s="20"/>
      <c r="U329" s="20"/>
      <c r="V329" s="20"/>
    </row>
    <row r="330" spans="13:22" ht="19.899999999999999" customHeight="1">
      <c r="M330" s="20"/>
      <c r="N330" s="20"/>
      <c r="O330" s="20"/>
      <c r="P330" s="20"/>
      <c r="Q330" s="20"/>
      <c r="R330" s="20"/>
      <c r="S330" s="20"/>
      <c r="T330" s="20"/>
      <c r="U330" s="20"/>
      <c r="V330" s="20"/>
    </row>
    <row r="331" spans="13:22" ht="19.899999999999999" customHeight="1">
      <c r="M331" s="20"/>
      <c r="N331" s="20"/>
      <c r="O331" s="20"/>
      <c r="P331" s="20"/>
      <c r="Q331" s="20"/>
      <c r="R331" s="20"/>
      <c r="S331" s="20"/>
      <c r="T331" s="20"/>
      <c r="U331" s="20"/>
      <c r="V331" s="20"/>
    </row>
    <row r="332" spans="13:22" ht="19.899999999999999" customHeight="1">
      <c r="M332" s="20"/>
      <c r="N332" s="20"/>
      <c r="O332" s="20"/>
      <c r="P332" s="20"/>
      <c r="Q332" s="20"/>
      <c r="R332" s="20"/>
      <c r="S332" s="20"/>
      <c r="T332" s="20"/>
      <c r="U332" s="20"/>
      <c r="V332" s="20"/>
    </row>
    <row r="333" spans="13:22" ht="19.899999999999999" customHeight="1">
      <c r="M333" s="20"/>
      <c r="N333" s="20"/>
      <c r="O333" s="20"/>
      <c r="P333" s="20"/>
      <c r="Q333" s="20"/>
      <c r="R333" s="20"/>
      <c r="S333" s="20"/>
      <c r="T333" s="20"/>
      <c r="U333" s="20"/>
      <c r="V333" s="20"/>
    </row>
    <row r="334" spans="13:22" ht="19.899999999999999" customHeight="1">
      <c r="M334" s="20"/>
      <c r="N334" s="20"/>
      <c r="O334" s="20"/>
      <c r="P334" s="20"/>
      <c r="Q334" s="20"/>
      <c r="R334" s="20"/>
      <c r="S334" s="20"/>
      <c r="T334" s="20"/>
      <c r="U334" s="20"/>
      <c r="V334" s="20"/>
    </row>
    <row r="335" spans="13:22" ht="19.899999999999999" customHeight="1">
      <c r="M335" s="20"/>
      <c r="N335" s="20"/>
      <c r="O335" s="20"/>
      <c r="P335" s="20"/>
      <c r="Q335" s="20"/>
      <c r="R335" s="20"/>
      <c r="S335" s="20"/>
      <c r="T335" s="20"/>
      <c r="U335" s="20"/>
      <c r="V335" s="20"/>
    </row>
    <row r="336" spans="13:22" ht="19.899999999999999" customHeight="1">
      <c r="M336" s="20"/>
      <c r="N336" s="20"/>
      <c r="O336" s="20"/>
      <c r="P336" s="20"/>
      <c r="Q336" s="20"/>
      <c r="R336" s="20"/>
      <c r="S336" s="20"/>
      <c r="T336" s="20"/>
      <c r="U336" s="20"/>
      <c r="V336" s="20"/>
    </row>
    <row r="337" spans="13:22" ht="19.899999999999999" customHeight="1">
      <c r="M337" s="20"/>
      <c r="N337" s="20"/>
      <c r="O337" s="20"/>
      <c r="P337" s="20"/>
      <c r="Q337" s="20"/>
      <c r="R337" s="20"/>
      <c r="S337" s="20"/>
      <c r="T337" s="20"/>
      <c r="U337" s="20"/>
      <c r="V337" s="20"/>
    </row>
    <row r="338" spans="13:22" ht="19.899999999999999" customHeight="1">
      <c r="M338" s="20"/>
      <c r="N338" s="20"/>
      <c r="O338" s="20"/>
      <c r="P338" s="20"/>
      <c r="Q338" s="20"/>
      <c r="R338" s="20"/>
      <c r="S338" s="20"/>
      <c r="T338" s="20"/>
      <c r="U338" s="20"/>
      <c r="V338" s="20"/>
    </row>
    <row r="339" spans="13:22" ht="19.899999999999999" customHeight="1">
      <c r="M339" s="20"/>
      <c r="N339" s="20"/>
      <c r="O339" s="20"/>
      <c r="P339" s="20"/>
      <c r="Q339" s="20"/>
      <c r="R339" s="20"/>
      <c r="S339" s="20"/>
      <c r="T339" s="20"/>
      <c r="U339" s="20"/>
      <c r="V339" s="20"/>
    </row>
    <row r="340" spans="13:22" ht="19.899999999999999" customHeight="1">
      <c r="M340" s="20"/>
      <c r="N340" s="20"/>
      <c r="O340" s="20"/>
      <c r="P340" s="20"/>
      <c r="Q340" s="20"/>
      <c r="R340" s="20"/>
      <c r="S340" s="20"/>
      <c r="T340" s="20"/>
      <c r="U340" s="20"/>
      <c r="V340" s="20"/>
    </row>
    <row r="341" spans="13:22" ht="19.899999999999999" customHeight="1">
      <c r="M341" s="19"/>
      <c r="N341" s="19"/>
      <c r="O341" s="19"/>
      <c r="P341" s="19"/>
      <c r="Q341" s="19"/>
      <c r="R341" s="25"/>
      <c r="S341" s="20"/>
      <c r="T341" s="20"/>
      <c r="U341" s="20"/>
      <c r="V341" s="20"/>
    </row>
    <row r="342" spans="13:22" ht="19.899999999999999" customHeight="1">
      <c r="S342" s="20"/>
      <c r="T342" s="20"/>
      <c r="U342" s="20"/>
      <c r="V342" s="20"/>
    </row>
    <row r="343" spans="13:22" ht="19.899999999999999" customHeight="1">
      <c r="S343" s="20"/>
      <c r="T343" s="20"/>
      <c r="U343" s="20"/>
      <c r="V343" s="20"/>
    </row>
    <row r="344" spans="13:22" ht="19.899999999999999" customHeight="1">
      <c r="S344" s="20"/>
      <c r="T344" s="20"/>
      <c r="U344" s="20"/>
      <c r="V344" s="20"/>
    </row>
    <row r="345" spans="13:22" ht="19.899999999999999" customHeight="1">
      <c r="S345" s="20"/>
      <c r="T345" s="20"/>
      <c r="U345" s="20"/>
      <c r="V345" s="20"/>
    </row>
    <row r="346" spans="13:22" ht="19.899999999999999" customHeight="1">
      <c r="S346" s="20"/>
      <c r="T346" s="20"/>
      <c r="U346" s="20"/>
      <c r="V346" s="20"/>
    </row>
    <row r="347" spans="13:22" ht="19.899999999999999" customHeight="1">
      <c r="S347" s="20"/>
      <c r="T347" s="20"/>
      <c r="U347" s="20"/>
      <c r="V347" s="20"/>
    </row>
    <row r="348" spans="13:22" ht="19.899999999999999" customHeight="1">
      <c r="S348" s="20"/>
      <c r="T348" s="20"/>
      <c r="U348" s="20"/>
      <c r="V348" s="20"/>
    </row>
    <row r="349" spans="13:22" ht="19.899999999999999" customHeight="1">
      <c r="S349" s="20"/>
      <c r="T349" s="20"/>
      <c r="U349" s="20"/>
      <c r="V349" s="20"/>
    </row>
    <row r="350" spans="13:22" ht="19.899999999999999" customHeight="1">
      <c r="S350" s="20"/>
      <c r="T350" s="20"/>
      <c r="U350" s="20"/>
      <c r="V350" s="20"/>
    </row>
    <row r="351" spans="13:22" ht="19.899999999999999" customHeight="1">
      <c r="S351" s="20"/>
      <c r="T351" s="20"/>
      <c r="U351" s="20"/>
      <c r="V351" s="20"/>
    </row>
    <row r="352" spans="13:22" ht="19.899999999999999" customHeight="1">
      <c r="S352" s="20"/>
      <c r="T352" s="20"/>
      <c r="U352" s="20"/>
      <c r="V352" s="20"/>
    </row>
    <row r="353" spans="19:22" ht="19.899999999999999" customHeight="1">
      <c r="S353" s="20"/>
      <c r="T353" s="20"/>
      <c r="U353" s="20"/>
      <c r="V353" s="20"/>
    </row>
    <row r="354" spans="19:22" ht="19.899999999999999" customHeight="1">
      <c r="S354" s="20"/>
      <c r="T354" s="20"/>
      <c r="U354" s="20"/>
      <c r="V354" s="20"/>
    </row>
    <row r="355" spans="19:22" ht="19.899999999999999" customHeight="1">
      <c r="S355" s="20"/>
      <c r="T355" s="20"/>
      <c r="U355" s="20"/>
      <c r="V355" s="20"/>
    </row>
    <row r="356" spans="19:22" ht="19.899999999999999" customHeight="1">
      <c r="S356" s="19"/>
      <c r="T356" s="19"/>
      <c r="U356" s="19"/>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Yage G Xin</cp:lastModifiedBy>
  <cp:revision/>
  <dcterms:created xsi:type="dcterms:W3CDTF">2024-11-07T04:55:13Z</dcterms:created>
  <dcterms:modified xsi:type="dcterms:W3CDTF">2024-11-12T08:46:07Z</dcterms:modified>
  <cp:category/>
  <cp:contentStatus/>
</cp:coreProperties>
</file>